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codeName="EstaPastaDeTrabalho" defaultThemeVersion="166925"/>
  <mc:AlternateContent xmlns:mc="http://schemas.openxmlformats.org/markup-compatibility/2006">
    <mc:Choice Requires="x15">
      <x15ac:absPath xmlns:x15ac="http://schemas.microsoft.com/office/spreadsheetml/2010/11/ac" url="\\procon.am.gov.br\data\administrativa\Jurídico 1ª INSTANCIA\ANO DE 2025\13 - MEMORIA DE CALCULO E RECALCULO AINF\01 JANEIRO\"/>
    </mc:Choice>
  </mc:AlternateContent>
  <xr:revisionPtr revIDLastSave="0" documentId="13_ncr:1_{C09C69DA-7DFD-46F6-9F01-DA31249B0884}" xr6:coauthVersionLast="47" xr6:coauthVersionMax="47" xr10:uidLastSave="{00000000-0000-0000-0000-000000000000}"/>
  <bookViews>
    <workbookView xWindow="-120" yWindow="-120" windowWidth="29040" windowHeight="15840" firstSheet="2" activeTab="3" xr2:uid="{00000000-000D-0000-FFFF-FFFF00000000}"/>
  </bookViews>
  <sheets>
    <sheet name="GRUPOS" sheetId="3" state="hidden" r:id="rId1"/>
    <sheet name="AGRAVANTES" sheetId="4" state="hidden" r:id="rId2"/>
    <sheet name="BANCO DE DADOS" sheetId="1" r:id="rId3"/>
    <sheet name="DOSIMETRIA" sheetId="2" r:id="rId4"/>
  </sheets>
  <definedNames>
    <definedName name="CLASSIFICACAO">'BANCO DE DADOS'!$F$9:$F$13</definedName>
    <definedName name="GRUPO_I">Tabela6[GRUPO_I]</definedName>
    <definedName name="GRUPO_II">GRUPOS!$E$8:$E$19</definedName>
    <definedName name="GRUPO_III">GRUPOS!$H$8:$H$37</definedName>
    <definedName name="GRUPO_IV">GRUPOS!$K$8:$K$14</definedName>
    <definedName name="INFRAÇÃO">Tabela_Infracao[INFRAÇÃO]</definedName>
    <definedName name="INFRATOR">Tabela_Infrator[INFRATOR]</definedName>
    <definedName name="Porte">Tabela_Porte[PORTE]</definedName>
    <definedName name="Porte_Empresa">Tabela_Porte[PORTE]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2" l="1"/>
  <c r="E18" i="2" s="1"/>
  <c r="F20" i="2" l="1"/>
  <c r="E22" i="2" l="1"/>
  <c r="E37" i="2" s="1"/>
  <c r="E50" i="2" l="1"/>
  <c r="E59" i="2" s="1"/>
  <c r="E69" i="2" s="1"/>
</calcChain>
</file>

<file path=xl/sharedStrings.xml><?xml version="1.0" encoding="utf-8"?>
<sst xmlns="http://schemas.openxmlformats.org/spreadsheetml/2006/main" count="145" uniqueCount="136">
  <si>
    <t>(%)</t>
  </si>
  <si>
    <t>INFRATOR</t>
  </si>
  <si>
    <t>SITUAÇÕES AGRAVANTES:</t>
  </si>
  <si>
    <t>NATUREZA DA INFRAÇÃO:</t>
  </si>
  <si>
    <t>INFRATOR:</t>
  </si>
  <si>
    <t>INFRAÇÃO</t>
  </si>
  <si>
    <t>TIM S/A</t>
  </si>
  <si>
    <t>VIVO</t>
  </si>
  <si>
    <t>SITUAÇÕES AGRAVANTES</t>
  </si>
  <si>
    <t>SITUAÇÕES ATENUANTES:</t>
  </si>
  <si>
    <t>VALOR TOTAL DA MULTA:</t>
  </si>
  <si>
    <t>1-</t>
  </si>
  <si>
    <t>2-</t>
  </si>
  <si>
    <t>3-</t>
  </si>
  <si>
    <t>5-</t>
  </si>
  <si>
    <t>6-</t>
  </si>
  <si>
    <t>7-</t>
  </si>
  <si>
    <t>ATÉ</t>
  </si>
  <si>
    <t>INSTITUTO DE DEFESA DO CONSUMIDOR - PROCON/AM</t>
  </si>
  <si>
    <t>SUPERMERCADO DB</t>
  </si>
  <si>
    <t>SUPERMERCADO NOVA ERA</t>
  </si>
  <si>
    <t>SUPERMERCADO RIO NEGRO</t>
  </si>
  <si>
    <t>CARREFOUR</t>
  </si>
  <si>
    <t>PORTE</t>
  </si>
  <si>
    <t>FATOR</t>
  </si>
  <si>
    <t>CLASSIFICAÇÃO DAS INFRAÇÕES</t>
  </si>
  <si>
    <t>PREJUIZO DO CONSUMIDOR:</t>
  </si>
  <si>
    <t>MEI</t>
  </si>
  <si>
    <t>Micro Empreendedor</t>
  </si>
  <si>
    <t>Pequeno Porte</t>
  </si>
  <si>
    <t>Médio Porte</t>
  </si>
  <si>
    <t>Grande Porte</t>
  </si>
  <si>
    <t>PORTE DA EMPRSA</t>
  </si>
  <si>
    <t>CLASSIFICAÇÃO DAS EMPRESAS</t>
  </si>
  <si>
    <t>PENA BASE</t>
  </si>
  <si>
    <t>4-</t>
  </si>
  <si>
    <t>PENA AGRAVADA:</t>
  </si>
  <si>
    <t>PENA PARCIAL:</t>
  </si>
  <si>
    <t>SITUAÇÕES ATENUANTES</t>
  </si>
  <si>
    <t>VALOR 1:</t>
  </si>
  <si>
    <t>EMPRESAS</t>
  </si>
  <si>
    <t>CLARO</t>
  </si>
  <si>
    <t>FATOR DE VANTAGENS</t>
  </si>
  <si>
    <t>(PENA BASE + 10% do valor da PENA BASE)</t>
  </si>
  <si>
    <t>(PENA BASE + 20% do valor da PENA BASE)</t>
  </si>
  <si>
    <t>(PENA BASE + 30% do valor da PENA BASE)</t>
  </si>
  <si>
    <t>(PENA AGRAVADA - 5% do valor da PENA AGRAVADA)</t>
  </si>
  <si>
    <t>(PENA AGRAVADA - 10% do valor da PENA AGRAVADA)</t>
  </si>
  <si>
    <t>(PENA AGRAVADA - 15% do valor da PENA AGRAVADA)</t>
  </si>
  <si>
    <t>(PENA PARCIAL + 5% do valor da PENA PARCIAL)</t>
  </si>
  <si>
    <t>PENSA BASE = VD+(VD.PE)  + {[VD+(VD.PE)].NAT}</t>
  </si>
  <si>
    <t>OI</t>
  </si>
  <si>
    <t>SKY</t>
  </si>
  <si>
    <t>8-</t>
  </si>
  <si>
    <t>Houve concurso de infração, nos termos do art. 44, parágrafo único do Decreto nº 43.614/2021?</t>
  </si>
  <si>
    <t>GRUPO_I</t>
  </si>
  <si>
    <t>GRUPO_II</t>
  </si>
  <si>
    <t>GRUPO_III</t>
  </si>
  <si>
    <t>GRUPO_IV</t>
  </si>
  <si>
    <t>Nº</t>
  </si>
  <si>
    <t>Grupo_I</t>
  </si>
  <si>
    <t>Grupo_II</t>
  </si>
  <si>
    <t>Grupo_III</t>
  </si>
  <si>
    <t>Grupo_IV</t>
  </si>
  <si>
    <t>Ofertar produtos ou serviços sem assegurar informações corretas, claras, precisas, ostensivas e em língua portuguesa sobre suas características, qualidade, quantidade, composição, preço, condições de pagamento, juros, encargos, garantia e origem entre outros dados relevantes (artigo 31, caput da Lei Federal n.º 8.078, de 11 de setembro de 1990).</t>
  </si>
  <si>
    <t>Promover a publicidade de bens ou serviços por telefone, quando a chamada for onerosa ao consumidor que a origina (artigo 33, parágrafo único, da Lei Federal n.º 8.078, de 11 de setembro de 1990)</t>
  </si>
  <si>
    <t>Deixar de gravar de forma indelével, nos produtos refrigerados, as informações quanto as suas características, qualidade, quantidade, composição, preço, garantia, origem, entre outros dados relevantes (artigo 31, parágrafo único, da Lei Federal n.º 8.078, de 11 de setembro de 1990).</t>
  </si>
  <si>
    <t>Promover publicidade de produto ou serviço, de forma que o consumidor não a identifique como tal, de forma fácil e imediata (artigo 36 da Lei Federal n.º 8.078, de 11 de setembro de 1990).</t>
  </si>
  <si>
    <r>
      <t>Omitir, nas ofertas ou vendas eletrônicas, por telefone ou reembolso postal, o nome e endereço do fabricante ou do importador na embalagem, publicidade e em todos os impressos utilizados na transação comercial (artigo 33 da Lei Federal n.º 8.078,</t>
    </r>
    <r>
      <rPr>
        <sz val="11"/>
        <color rgb="FF282623"/>
        <rFont val="Arial"/>
        <family val="2"/>
      </rPr>
      <t xml:space="preserve"> </t>
    </r>
    <r>
      <rPr>
        <sz val="11"/>
        <color rgb="FF110F0D"/>
        <rFont val="Arial"/>
        <family val="2"/>
      </rPr>
      <t>de 11 de setembro de 1990).</t>
    </r>
  </si>
  <si>
    <r>
      <t>Deixar de fornecer, prévia e adequadamente, ao consumidor, nas vendas a prazo, informações obrigatórias sobre as condições do crédito ou financiamento (artigo 52 da Lei Federal n.º 8.078,</t>
    </r>
    <r>
      <rPr>
        <sz val="11"/>
        <color rgb="FF282623"/>
        <rFont val="Calibri"/>
        <family val="2"/>
        <scheme val="minor"/>
      </rPr>
      <t xml:space="preserve"> </t>
    </r>
    <r>
      <rPr>
        <sz val="11"/>
        <color theme="1"/>
        <rFont val="Calibri"/>
        <family val="2"/>
        <scheme val="minor"/>
      </rPr>
      <t>de 11 de setembro de 1990).</t>
    </r>
  </si>
  <si>
    <t>Deixar de sanar os vícios do produto ou serviço, de qualidade ou quantidade, que os tornem impróprios ou inadequados ao consumo a que se destinam ou lhes diminuam o valor, assim como por aqueles decorrentes da disparidade, com as indicações constantes do recipiente, da embalagem, rotulagem ou mensagem publicitária (artigo 18 da Lei Federal n.º 8.078, de 11 de setembro de 1990).</t>
  </si>
  <si>
    <t>Fornecer produtos com vícios de quantidade, isto é, com conteúdo líquido inferior às indicações constantes do recipiente, da embalagem, rotulagem ou de mensagem publicitária, respeitadas as variações decorrentes de sua natureza (artigo 19 da Lei Federal n.º 8.078, de 11 de setembro de 1990)</t>
  </si>
  <si>
    <t>Fornecer serviços com vícios de qualidade, que os tornem impróprios ao consumo ou lhes diminuam o valor, assim como por aqueles decorrentes da disparidade com as indicações constantes da oferta ou mensagem publicitária (artigo 20 da Lei Federal n.º 8.078, de 11 de setembro de 1990)</t>
  </si>
  <si>
    <t>Deixar de atender a escolha do consumidor prevista no § 1.º do artigo 18 do Código de Defesa do Consumidor , quando o vício não for sanado no prazo de 30 (trinta) dias (artigo 18,  § 1.º, da Lei Federal n.º 8.078, de 11 de setembro de 1990)</t>
  </si>
  <si>
    <t>Redigir instrumento de contrato que regula relações de consumo de modo a dificultar a compreensão do seu sentido e alcance (artigo 46 da Lei Federal n.º 8.078, de 11 de setembro de 1990)</t>
  </si>
  <si>
    <t>Impedir, dificultar ou negar a desistência contratual e devolução dos valores recebidos, no prazo legal de arrependimento, quando a contratação ocorrer fora do estabelecimento comercial (artigo 49 da Lei Federal n.º 8.078, de 11 de setembro de 1990)</t>
  </si>
  <si>
    <t>Deixar de entregar, quando concedida garantia contratual, termo de garantia ou equivalente em forma padronizada, esclarecendo, de maneira adequada, em que consiste a mesma garantia, bem como a forma, o prazo e o lugar em que pode ser exercitada e os ônus a cargo do consumidor (artigo 50, parágrafo único, da Lei Federal n.º 8.078, de 11 de setembro de 1990)</t>
  </si>
  <si>
    <t>Deixar de fornecer manual de instrução, de instalação e uso de produto em linguagem didática e com ilustrações (artigo 50, parágrafo único).</t>
  </si>
  <si>
    <t>Deixar de redigir contrato de adesão em termos claros e com caracteres ostensivos e legíveis, cujo tamanho de fonte não será inferior ao corpo doze, de modo a facilitar a sua compreensão pelo consumidor (artigo 54, § 3.º da Lei Federal n.º 8.078, de 11 de setembro de 1990)</t>
  </si>
  <si>
    <t>Deixar de redigir com destaque cláusulas contratuais que impliquem na limitação de direito do consumidor, impedindo sua imediata e fácil compreensão (artigo 54, § 4.º da Lei Federal n.º 8.078, de 11 de setembro de 1990)</t>
  </si>
  <si>
    <t>Ofertar produtos ou serviços sem assegurar informação correta, clara, precisa, ostensiva e em língua portuguesa sobre seus respectivos prazos de validade e sobre os riscos que apresentam à saúde e segurança dos consumidores (artigo 31, caput, da Lei Federal n.º 8.078, de 11 de setembro de 1990)</t>
  </si>
  <si>
    <t>Deixar de gravar de forma indelével, nos produtos refrigerados, as informações quanto ao seu prazo de validade e sobre os riscos que apresentem à saúde e segurança dos consumidores (artigo 31, parágrafo único, da Lei Federal n.º 8.078, de 11 de setembro de 1990).</t>
  </si>
  <si>
    <t>Deixar de reparar os danos causados aos consumidores por defeitos decorrentes de projeto, fabricação, construção, montagem, fórmulas, manipulação, apresentação ou acondicionamento de seus produtos ou serviços, bem como prestar informações insuficientes ou inadequadas sobre sua utilização e riscos (artigo 12 da Lei Federal n.º 8.078, de 11 de setembro de 1990).</t>
  </si>
  <si>
    <t>Deixar de reparar os danos causados aos consumidores por defeitos relativos à prestação dos serviços, bem como prestar informações insuficientes ou inadequadas sobre sua fruição e riscos (artigo 14 da Lei Federal n.º 8.078, de 11 de setembro de 1990).</t>
  </si>
  <si>
    <t>Colocar no mercado de consumo produtos ou serviços em desacordo com as normas regulamentares de fabricação, distribuição ou apresentação ou, se normas específicas não existirem, pela Associação Brasileira de Normas Técnicas ou outra entidade credenciada pelo Conselho Nacional de Metrologia, Normalização e Qualidade Industrial – CONMETRO (artigo 39, VIII, da Lei Federal n.º 8.078, de 11 de setembro de 1990).</t>
  </si>
  <si>
    <t>Colocar no mercado de consumo produtos ou serviços inadequados ao fim a que se destinam ou que lhe diminuam o valor (artigos 18, § 6.º, III, e 20, da Lei Federal n.º 8.078, de 11 de setembro de 1990).</t>
  </si>
  <si>
    <t>Colocar no mercado de consumo produtos ou serviços em desacordo com as indicações constantes do recipiente, da embalagem, da rotulagem ou mensagem publicitária, respeitadas as variações decorrentes de sua natureza (artigo 19 da Lei Federal n.º 8.078, de 11 de setembro de 1990).</t>
  </si>
  <si>
    <t>Deixar de empregar componentes de reposição originais, adequados e novos, ou que mantenham as especificações técnicas do fabricante, salvo se existir autorização em contrário do consumidor (artigo 21 da Lei Federal n.º 8.078, de 11 de setembro de 1990).</t>
  </si>
  <si>
    <t>Deixar as concessionárias ou permissionárias de fornecer serviços públicos adequados, eficientes, seguros e, quanto aos essenciais, contínuos (artigo 22 da Lei Federal n.º 8.078, de 11 de setembro de 1990).</t>
  </si>
  <si>
    <t>Deixar de cumprir a oferta, publicitária ou não, suficientemente precisa, ou obrigação estipulada em contrato (artigos 30 e 48 da Lei Federal n.º 8.078, de 11 de setembro de 1990).</t>
  </si>
  <si>
    <t>Deixar de assegurar a oferta de componentes e peças de reposição, enquanto não cessar a fabricação ou importação do produto (artigo 32 da Lei Federal n.º 8.078, de 11 de setembro de 1990).</t>
  </si>
  <si>
    <t>Impedir ou dificultar o acesso gratuito do consumidor às informações existentes em cadastros, fichas, registros e dados pessoais e de consumo arquivados sobre ele, bem como sobre as suas respectivas fontes (artigo 43 da Lei Federal n.º 8.078, de 11 de setembro de 1990).</t>
  </si>
  <si>
    <t>Manter cadastro de consumidores sem serem objetivos, claros, verdadeiros e em linguagem de fácil compreensão, ou contendo informações negativas referentes a período superior a cinco anos (artigo 43, § 1.º, da Lei Federal n.º 8.078, de 11 de setembro de 1990).</t>
  </si>
  <si>
    <t>Inserir ou manter registros em desacordo com a legislação, nos cadastros ou banco de dados de consumidores (artigos 43 e §§, e 39, caput, da Lei Federal n.º 8.078, de 11 de setembro de 1990).</t>
  </si>
  <si>
    <t>Inserir ou causar a inserção de informações negativas não verdadeiras ou imprecisas em cadastro de consumidores (artigo 43, § 1.º, da Lei Federal n.º 8.078, de 11 de setembro de 1990).</t>
  </si>
  <si>
    <t>Deixar de comunicar por escrito ao consumidor a abertura de cadastro, ficha, registro e dados pessoais de consumo, quando não solicitada por ele (artigo 43, § 2.º da Lei Federal n.º 8.078, de 11 de setembro de 1990).</t>
  </si>
  <si>
    <t>Deixar de retificar, quando exigidos pelo consumidor, os dados e cadastros nos casos de inexatidão ou comunicar a alteração aos eventuais destinatários no prazo legal (artigo 43,  § 3.º, da Lei Federal n.º 8.078, de 11 de setembro de 1990).</t>
  </si>
  <si>
    <t>Fornecer quaisquer informações que possam impedir ou dificultar acesso ao crédito junto aos fornecedores, após consumada a prescrição relativa à cobrança dos débitos do consumidor (artigo 43, § 5.º, da Lei Federal n.º 8.078, de 11 de setembro de 1990).</t>
  </si>
  <si>
    <t>Deixar o fornecedor de manter em seu poder, na publicidade de seus produtos ou serviços, para informação dos legítimos interessados, os dados fáticos, técnicos e científicos que dão sustentação à mensagem (artigo 36, parágrafo único); ou deixar de prestar essas informações ao órgão de defesa do consumidor, quando notificado para tanto (artigo 55, § 4.º, da Lei Federal n.º 8.078, de 11 de setembro de 1990).</t>
  </si>
  <si>
    <t>Promover publicidade enganosa ou abusiva (artigo 37 e §§ 1.º, 2.º e 3.º, da Lei Federal n.º 8.078, de 11 de setembro de 1990).</t>
  </si>
  <si>
    <t>Realizar prática abusiva (artigo 39 da Lei Federal n.º 8.078, de 11 de setembro de 1990).</t>
  </si>
  <si>
    <t>Deixar de entregar orçamento prévio discriminando o valor da mão-de-obra, dos materiais e equipamentos a serem empregados, as condições de pagamento, bem como as datas de início e término dos serviços (artigo 40 da Lei Federal n.º 8.078, de 11 de setembro de 1990).</t>
  </si>
  <si>
    <t>Deixar de restituir quantia recebida em excesso nos casos de produtos ou serviços sujeitos a regime de controle ou tabelamento de preços (artigo 40, § 3.º, da Lei Federal n.º 8.078, de 11 de setembro de 1990).</t>
  </si>
  <si>
    <t>Desrespeitar os limites oficiais estabelecidos para o fornecimento de produtos ou serviços sujeitos ao regime de controle ou de tabelamento de preços (artigo 41 da Lei Federal n.º 8.078, de 11 de setembro de 1990).</t>
  </si>
  <si>
    <t>Submeter, na cobrança de débitos, o consumidor inadimplente a ridículo ou qualquer tipo de constrangimento ou ameaça (artigo 42 da Lei Federal n.º 8.078, de 11 de setembro de 1990).</t>
  </si>
  <si>
    <t>Apresentar ao consumidor documento de cobrança de débitos sem informação sobre o nome, endereço e o número de inscrição no Cadastro de Pessoas Físicas - CPF ou no Cadastro Nacional de Pessoa Jurídica - CNPJ do fornecedor do produto ou serviço correspondente (artigo 42-A, acrescido pela Lei Federal n.º 12.039, de 1.º de outubro de 2009).</t>
  </si>
  <si>
    <t>Deixar de restituir ao consumidor quantia indevidamente cobrada pelo valor igual ao dobro do excesso (artigo 42, parágrafo único, da Lei Federal n.º 8.078, de 11 de setembro de 1990)</t>
  </si>
  <si>
    <t>Inserir no instrumento de contrato cláusula abusiva (artigo 51 da Lei Federal n.º 8.078, de 11 de setembro de 1990).</t>
  </si>
  <si>
    <t>Exigir multa de mora superior ao limite legal (artigo 52, § 1.º, da Lei Federal n.º 8.078, de 11 de setembro de 1990)</t>
  </si>
  <si>
    <t>Deixar de assegurar ao consumidor a liquidação antecipada do débito, total ou parcialmente, mediante redução proporcional dos juros e demais acréscimos (artigo 52, § 2.º, da Lei Federal n.º 8.078, de 11 de setembro de 1990).</t>
  </si>
  <si>
    <t>Inserir no instrumento de contrato cláusula que estabeleça a perda total das prestações pagas em benefício do credor que, em razão do inadimplemento, pleitear a resolução do contrato e a retomada do produto alienado (artigo 53 da Lei Federal n.º 8.078, de 11 de setembro de 1990).</t>
  </si>
  <si>
    <t>Deixar de prestar informações sobre questões de interesse do consumidor, descumprindo notificação do órgão de defesa do consumidor (artigo 55, § 4.º da Lei Federal n.º 8.078, de 11 de setembro de 1990).</t>
  </si>
  <si>
    <t>Exposição à venda de produtos deteriorados, alterados, adulterados, avariados, falsificados, corrompidos, fraudados, nocivos à vida ou à saúde, ou perigosos ou, ainda, que estejam em desacordo com as normas regulamentares de fabricação, distribuição ou apresentação (artigo 18, § 6.º, II, da Lei Federal n.º 8.078, de 11 de setembro de 1990).</t>
  </si>
  <si>
    <t>Colocar no mercado de consumo produtos ou serviços que acarretem riscos à saúde ou segurança dos consumidores, exceto os considerados normais e previsíveis em decorrência de sua natureza e fruição, bem como deixar de dar as informações necessárias e adequadas a seu respeito (artigo 8.º da Lei Federal n.º 8.078, de 11 de setembro de 1990).</t>
  </si>
  <si>
    <t>Colocar ou ser responsável pela colocação no mercado de consumo, produto ou serviço que sabe ou deveria saber apresentar alto grau de nocividade ou periculosidade à saúde ou segurança (artigo 10 da Lei Federal n.º 8.078, de 11 de setembro de 1990).</t>
  </si>
  <si>
    <t>Deixar de informar, de maneira ostensiva e adequada, a respeito da nocividade ou periculosidade de produtos e serviços potencialmente nocivos ou perigosos à saúde ou segurança, ou deixar de adotar outras medidas cabíveis, em cada caso concreto (artigo 9.º da Lei Federal n.º 8.078, de 11 de setembro de 1990).</t>
  </si>
  <si>
    <t>Deixar de comunicar à autoridade competente a nocividade ou periculosidade do produto ou serviço, quando do lançamento dos mesmos no mercado de consumo, ou quando da verificação posterior da existência de risco (artigo 10, § 1.º, da Lei Federal n.º 8.078, de 11 de setembro de 1990).</t>
  </si>
  <si>
    <t>Deixar de comunicar aos consumidores, por meio de anúncios publicitários veiculados na imprensa, rádio e televisão, a nocividade ou periculosidade do produto ou serviço, quando do lançamento dos mesmos no mercado de consumo, ou quando da verificação posterior da existência de risco (artigo 10, §§ 1.º e 2.º, da Lei Federal n.º 8.078, de 11 de setembro de 1990).</t>
  </si>
  <si>
    <t>Expor à venda produtos com validade vencida (artigo 18, § 6.º, I da Lei Federal n.º 8.078, de 11 de setembro de 1990).</t>
  </si>
  <si>
    <t>AGRAVANTES</t>
  </si>
  <si>
    <t>I</t>
  </si>
  <si>
    <t>II</t>
  </si>
  <si>
    <t>III</t>
  </si>
  <si>
    <t>IV</t>
  </si>
  <si>
    <t>V</t>
  </si>
  <si>
    <t>ser o infrator reincidente, ou seja, o fornecedor que, nos últimos 05 (cinco) anos, a contar da lavratura do auto de infração, tenha sofrido sanção por meio de decisão administrativa irrecorrível, observando o disposto no § 3.º do artigo 59 da Lei Federal n.º 8.078, de 11 de setembro de 1990.</t>
  </si>
  <si>
    <t>trazer a prática infrativa consequências danosas à saúde ou à segurança do consumidor, ainda que potencialmente.</t>
  </si>
  <si>
    <t>ter a prática infrativa ocorrido em detrimento de menor de dezoito ou maior de sessenta anos, em detrimento de pessoas com deficiência, interditadas ou não, e ocorrido em detrimento da condição cultural, social e econômica do consumidor.</t>
  </si>
  <si>
    <t>ser a conduta infrativa praticada em período de grave crise econômica ou por ocasião de calamidade.</t>
  </si>
  <si>
    <t>ser a conduta infrativa discriminatória de qualquer natureza, referente à cor, etnia, idade, orientação sexual, identidade de gênero, religião, entre outras, caracterizada por ser constrangedora, intimidatória, vexatória, de predição, restrição, distinção, exclusão ou preferência, que anule, limite ou dificulte o gozo e exercício de direitos relativos às relações de consumo.</t>
  </si>
  <si>
    <t>Nº PROCESSO</t>
  </si>
  <si>
    <t xml:space="preserve">¹Valor do dano suportado pelo consumidor (VD), nos moldes do art. 37 do Decreto Estadual n.43.614/2021 </t>
  </si>
  <si>
    <t>AMAZONAS ENERGIA S.A</t>
  </si>
  <si>
    <t xml:space="preserve">²Conduta infracionária com agraventes: inciso I do art. 38 do Decreto Estadual nº 43.614/2021                                                                                           Conduta infracionária com atenuantes: inexistente.      </t>
  </si>
  <si>
    <t>Manaus, 29 de janeiro de 2025.</t>
  </si>
  <si>
    <t>01.03.021202.005211/2024-41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</si>
</sst>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6" x14ac:knownFonts="1">
    <font>
      <sz val="11"/>
      <color theme="1"/>
      <name val="Calibri"/>
      <family val="2"/>
      <scheme val="minor"/>
    </font>
    <font>
      <sz val="11"/>
      <color theme="1"/>
      <name val="Calibri"/>
      <family val="2"/>
      <scheme val="minor"/>
    </font>
    <font>
      <b/>
      <sz val="11"/>
      <color theme="1"/>
      <name val="Calibri"/>
      <family val="2"/>
      <scheme val="minor"/>
    </font>
    <font>
      <sz val="8"/>
      <color rgb="FF000000"/>
      <name val="Segoe UI"/>
      <family val="2"/>
    </font>
    <font>
      <b/>
      <sz val="11"/>
      <color theme="0"/>
      <name val="Calibri"/>
      <family val="2"/>
      <scheme val="minor"/>
    </font>
    <font>
      <sz val="11"/>
      <name val="Calibri"/>
      <family val="2"/>
      <scheme val="minor"/>
    </font>
    <font>
      <b/>
      <sz val="11"/>
      <name val="Calibri"/>
      <family val="2"/>
      <scheme val="minor"/>
    </font>
    <font>
      <sz val="11"/>
      <color theme="0"/>
      <name val="Calibri"/>
      <family val="2"/>
      <scheme val="minor"/>
    </font>
    <font>
      <sz val="9"/>
      <name val="Calibri"/>
      <family val="2"/>
      <scheme val="minor"/>
    </font>
    <font>
      <sz val="8"/>
      <color rgb="FF000000"/>
      <name val="Tahoma"/>
      <family val="2"/>
    </font>
    <font>
      <sz val="11"/>
      <color rgb="FF110F0D"/>
      <name val="Arial"/>
      <family val="2"/>
    </font>
    <font>
      <sz val="11"/>
      <color rgb="FF282623"/>
      <name val="Arial"/>
      <family val="2"/>
    </font>
    <font>
      <sz val="10.5"/>
      <color rgb="FF110F0D"/>
      <name val="Arial"/>
      <family val="2"/>
    </font>
    <font>
      <sz val="10"/>
      <color rgb="FF110F0D"/>
      <name val="Arial"/>
      <family val="2"/>
    </font>
    <font>
      <sz val="11"/>
      <color rgb="FF282623"/>
      <name val="Calibri"/>
      <family val="2"/>
      <scheme val="minor"/>
    </font>
    <font>
      <sz val="1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tint="-0.249977111117893"/>
        <bgColor indexed="64"/>
      </patternFill>
    </fill>
  </fills>
  <borders count="14">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77">
    <xf numFmtId="0" fontId="0" fillId="0" borderId="0" xfId="0"/>
    <xf numFmtId="0" fontId="0" fillId="0" borderId="0" xfId="0" applyAlignment="1">
      <alignment horizontal="center"/>
    </xf>
    <xf numFmtId="44" fontId="0" fillId="0" borderId="0" xfId="1" applyFont="1"/>
    <xf numFmtId="0" fontId="2" fillId="0" borderId="0" xfId="0" applyFont="1" applyAlignment="1">
      <alignment horizontal="center"/>
    </xf>
    <xf numFmtId="0" fontId="4" fillId="4" borderId="0" xfId="0" applyFont="1" applyFill="1" applyAlignment="1">
      <alignment horizontal="center"/>
    </xf>
    <xf numFmtId="0" fontId="0" fillId="0" borderId="0" xfId="1" applyNumberFormat="1" applyFont="1" applyAlignment="1">
      <alignment horizontal="center"/>
    </xf>
    <xf numFmtId="0" fontId="2" fillId="2" borderId="0" xfId="0" applyFont="1" applyFill="1" applyAlignment="1">
      <alignment horizontal="center"/>
    </xf>
    <xf numFmtId="0" fontId="0" fillId="3" borderId="1" xfId="1" applyNumberFormat="1" applyFont="1" applyFill="1" applyBorder="1"/>
    <xf numFmtId="0" fontId="0" fillId="0" borderId="1" xfId="1" applyNumberFormat="1" applyFont="1" applyBorder="1"/>
    <xf numFmtId="0" fontId="0" fillId="3" borderId="1" xfId="0" applyFill="1" applyBorder="1"/>
    <xf numFmtId="0" fontId="0" fillId="0" borderId="1" xfId="0" applyBorder="1"/>
    <xf numFmtId="0" fontId="5" fillId="0" borderId="0" xfId="0" applyFont="1" applyProtection="1">
      <protection locked="0"/>
    </xf>
    <xf numFmtId="0" fontId="6" fillId="0" borderId="0" xfId="0" applyFont="1" applyProtection="1">
      <protection locked="0"/>
    </xf>
    <xf numFmtId="0" fontId="5" fillId="0" borderId="3" xfId="0" applyFont="1" applyBorder="1" applyProtection="1">
      <protection locked="0"/>
    </xf>
    <xf numFmtId="0" fontId="5" fillId="0" borderId="4" xfId="0" applyFont="1" applyBorder="1" applyProtection="1">
      <protection locked="0"/>
    </xf>
    <xf numFmtId="0" fontId="5" fillId="0" borderId="5" xfId="0" applyFont="1" applyBorder="1" applyProtection="1">
      <protection locked="0"/>
    </xf>
    <xf numFmtId="0" fontId="5" fillId="0" borderId="6" xfId="0" applyFont="1" applyBorder="1" applyProtection="1">
      <protection locked="0"/>
    </xf>
    <xf numFmtId="0" fontId="6" fillId="2" borderId="11" xfId="0" applyFont="1" applyFill="1" applyBorder="1" applyAlignment="1" applyProtection="1">
      <alignment horizontal="right"/>
      <protection locked="0"/>
    </xf>
    <xf numFmtId="0" fontId="5" fillId="0" borderId="7" xfId="0" applyFont="1" applyBorder="1" applyProtection="1">
      <protection locked="0"/>
    </xf>
    <xf numFmtId="0" fontId="5" fillId="0" borderId="0" xfId="0" applyFont="1" applyAlignment="1" applyProtection="1">
      <alignment horizontal="right"/>
      <protection locked="0"/>
    </xf>
    <xf numFmtId="0" fontId="7" fillId="0" borderId="0" xfId="0" applyFont="1" applyProtection="1">
      <protection locked="0"/>
    </xf>
    <xf numFmtId="0" fontId="5" fillId="0" borderId="0" xfId="1" applyNumberFormat="1" applyFont="1" applyBorder="1" applyAlignment="1" applyProtection="1">
      <alignment horizontal="center"/>
      <protection locked="0"/>
    </xf>
    <xf numFmtId="0" fontId="6" fillId="2" borderId="0" xfId="0" applyFont="1" applyFill="1" applyAlignment="1" applyProtection="1">
      <alignment horizontal="right"/>
      <protection locked="0"/>
    </xf>
    <xf numFmtId="0" fontId="6" fillId="0" borderId="0" xfId="0" applyFont="1" applyAlignment="1" applyProtection="1">
      <alignment horizontal="right"/>
      <protection locked="0"/>
    </xf>
    <xf numFmtId="0" fontId="5" fillId="0" borderId="0" xfId="0" applyFont="1" applyAlignment="1" applyProtection="1">
      <alignment vertical="center"/>
      <protection locked="0"/>
    </xf>
    <xf numFmtId="0" fontId="5" fillId="0" borderId="6" xfId="0" applyFont="1" applyBorder="1" applyAlignment="1" applyProtection="1">
      <alignment vertical="center"/>
      <protection locked="0"/>
    </xf>
    <xf numFmtId="0" fontId="5" fillId="0" borderId="7" xfId="0" applyFont="1" applyBorder="1" applyAlignment="1" applyProtection="1">
      <alignment vertical="center"/>
      <protection locked="0"/>
    </xf>
    <xf numFmtId="44" fontId="5" fillId="0" borderId="0" xfId="1" applyFont="1" applyBorder="1" applyProtection="1">
      <protection locked="0"/>
    </xf>
    <xf numFmtId="44" fontId="5" fillId="0" borderId="0" xfId="0" applyNumberFormat="1" applyFont="1" applyProtection="1">
      <protection locked="0"/>
    </xf>
    <xf numFmtId="0" fontId="5" fillId="0" borderId="8" xfId="0" applyFont="1" applyBorder="1" applyProtection="1">
      <protection locked="0"/>
    </xf>
    <xf numFmtId="0" fontId="5" fillId="0" borderId="9" xfId="0" applyFont="1" applyBorder="1" applyProtection="1">
      <protection locked="0"/>
    </xf>
    <xf numFmtId="0" fontId="5" fillId="0" borderId="10" xfId="0" applyFont="1" applyBorder="1" applyProtection="1">
      <protection locked="0"/>
    </xf>
    <xf numFmtId="0" fontId="6" fillId="5" borderId="0" xfId="0" applyFont="1" applyFill="1" applyProtection="1">
      <protection locked="0"/>
    </xf>
    <xf numFmtId="0" fontId="5" fillId="5" borderId="0" xfId="0" applyFont="1" applyFill="1" applyProtection="1">
      <protection locked="0"/>
    </xf>
    <xf numFmtId="0" fontId="8" fillId="0" borderId="0" xfId="0" applyFont="1" applyProtection="1">
      <protection locked="0"/>
    </xf>
    <xf numFmtId="0" fontId="10" fillId="0" borderId="0" xfId="0" applyFont="1"/>
    <xf numFmtId="0" fontId="12" fillId="0" borderId="0" xfId="0" applyFont="1"/>
    <xf numFmtId="0" fontId="13" fillId="0" borderId="0" xfId="0" applyFont="1"/>
    <xf numFmtId="0" fontId="10" fillId="0" borderId="0" xfId="0" applyFont="1" applyAlignment="1">
      <alignment horizontal="justify" vertical="justify" wrapText="1"/>
    </xf>
    <xf numFmtId="0" fontId="0" fillId="0" borderId="0" xfId="0" applyAlignment="1">
      <alignment horizontal="center" vertical="center"/>
    </xf>
    <xf numFmtId="44" fontId="6" fillId="0" borderId="2" xfId="1" applyFont="1" applyBorder="1" applyProtection="1">
      <protection locked="0"/>
    </xf>
    <xf numFmtId="0" fontId="6" fillId="0" borderId="2" xfId="0" applyFont="1" applyBorder="1" applyProtection="1">
      <protection locked="0"/>
    </xf>
    <xf numFmtId="0" fontId="6" fillId="0" borderId="2" xfId="1" applyNumberFormat="1" applyFont="1" applyBorder="1" applyAlignment="1" applyProtection="1">
      <alignment horizontal="center"/>
      <protection locked="0"/>
    </xf>
    <xf numFmtId="44" fontId="8" fillId="0" borderId="0" xfId="1" applyFont="1" applyBorder="1" applyAlignment="1" applyProtection="1">
      <protection locked="0"/>
    </xf>
    <xf numFmtId="0" fontId="0" fillId="0" borderId="0" xfId="0" applyAlignment="1">
      <alignment horizontal="justify" vertical="top" wrapText="1"/>
    </xf>
    <xf numFmtId="0" fontId="5" fillId="0" borderId="4" xfId="0" applyFont="1" applyBorder="1" applyAlignment="1" applyProtection="1">
      <alignment horizontal="right"/>
      <protection locked="0"/>
    </xf>
    <xf numFmtId="0" fontId="5" fillId="0" borderId="9" xfId="0" applyFont="1" applyBorder="1" applyAlignment="1" applyProtection="1">
      <alignment horizontal="right"/>
      <protection locked="0"/>
    </xf>
    <xf numFmtId="0" fontId="7" fillId="0" borderId="6" xfId="0" applyFont="1" applyBorder="1" applyProtection="1">
      <protection locked="0"/>
    </xf>
    <xf numFmtId="0" fontId="5" fillId="5" borderId="6" xfId="0" applyFont="1" applyFill="1" applyBorder="1" applyProtection="1">
      <protection locked="0"/>
    </xf>
    <xf numFmtId="0" fontId="5" fillId="5" borderId="0" xfId="0" applyFont="1" applyFill="1" applyAlignment="1" applyProtection="1">
      <alignment horizontal="right"/>
      <protection locked="0"/>
    </xf>
    <xf numFmtId="0" fontId="5" fillId="5" borderId="7" xfId="0" applyFont="1" applyFill="1" applyBorder="1" applyProtection="1">
      <protection locked="0"/>
    </xf>
    <xf numFmtId="44" fontId="5" fillId="5" borderId="0" xfId="1" applyFont="1" applyFill="1" applyBorder="1" applyProtection="1">
      <protection locked="0"/>
    </xf>
    <xf numFmtId="0" fontId="5" fillId="0" borderId="0" xfId="0" applyFont="1" applyAlignment="1" applyProtection="1">
      <alignment horizontal="right" vertical="center"/>
      <protection locked="0"/>
    </xf>
    <xf numFmtId="0" fontId="7" fillId="0" borderId="0" xfId="0" applyFont="1" applyProtection="1">
      <protection hidden="1"/>
    </xf>
    <xf numFmtId="44" fontId="6" fillId="0" borderId="2" xfId="1" applyFont="1" applyBorder="1" applyProtection="1">
      <protection hidden="1"/>
    </xf>
    <xf numFmtId="0" fontId="7" fillId="0" borderId="0" xfId="1" applyNumberFormat="1" applyFont="1" applyBorder="1" applyProtection="1">
      <protection hidden="1"/>
    </xf>
    <xf numFmtId="44" fontId="6" fillId="0" borderId="2" xfId="1" applyFont="1" applyBorder="1" applyAlignment="1" applyProtection="1">
      <alignment horizontal="center"/>
      <protection hidden="1"/>
    </xf>
    <xf numFmtId="44" fontId="6" fillId="0" borderId="0" xfId="1" applyFont="1" applyBorder="1" applyProtection="1">
      <protection hidden="1"/>
    </xf>
    <xf numFmtId="44" fontId="6" fillId="0" borderId="0" xfId="0" applyNumberFormat="1" applyFont="1" applyProtection="1">
      <protection hidden="1"/>
    </xf>
    <xf numFmtId="0" fontId="5" fillId="0" borderId="12" xfId="0" applyFont="1" applyBorder="1" applyProtection="1">
      <protection locked="0"/>
    </xf>
    <xf numFmtId="0" fontId="5" fillId="0" borderId="13" xfId="0" applyFont="1" applyBorder="1" applyAlignment="1" applyProtection="1">
      <alignment horizontal="right"/>
      <protection locked="0"/>
    </xf>
    <xf numFmtId="0" fontId="5" fillId="0" borderId="13" xfId="0" applyFont="1" applyBorder="1" applyProtection="1">
      <protection locked="0"/>
    </xf>
    <xf numFmtId="0" fontId="15" fillId="0" borderId="11" xfId="0" applyFont="1" applyBorder="1" applyAlignment="1" applyProtection="1">
      <alignment horizontal="right"/>
      <protection locked="0"/>
    </xf>
    <xf numFmtId="0" fontId="2" fillId="2" borderId="0" xfId="0" applyFont="1" applyFill="1" applyAlignment="1">
      <alignment horizontal="center"/>
    </xf>
    <xf numFmtId="0" fontId="6" fillId="0" borderId="9" xfId="0" applyFont="1" applyBorder="1" applyAlignment="1" applyProtection="1">
      <alignment horizontal="center"/>
      <protection locked="0"/>
    </xf>
    <xf numFmtId="0" fontId="6" fillId="2" borderId="0" xfId="0" applyFont="1" applyFill="1" applyAlignment="1" applyProtection="1">
      <alignment horizontal="center" vertical="center" wrapText="1"/>
      <protection locked="0"/>
    </xf>
    <xf numFmtId="0" fontId="6" fillId="2" borderId="7" xfId="0" applyFont="1" applyFill="1" applyBorder="1" applyAlignment="1" applyProtection="1">
      <alignment horizontal="center" vertical="center" wrapText="1"/>
      <protection locked="0"/>
    </xf>
    <xf numFmtId="0" fontId="5" fillId="0" borderId="0" xfId="0" applyFont="1" applyAlignment="1" applyProtection="1">
      <alignment horizontal="right" vertical="center"/>
      <protection locked="0"/>
    </xf>
    <xf numFmtId="0" fontId="5" fillId="0" borderId="3" xfId="0" applyFont="1" applyBorder="1" applyAlignment="1" applyProtection="1">
      <alignment horizontal="left" vertical="top" wrapText="1"/>
      <protection locked="0"/>
    </xf>
    <xf numFmtId="0" fontId="5"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wrapText="1"/>
      <protection locked="0"/>
    </xf>
    <xf numFmtId="0" fontId="5" fillId="0" borderId="6" xfId="0" applyFont="1" applyBorder="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5" fillId="0" borderId="7" xfId="0" applyFont="1" applyBorder="1" applyAlignment="1" applyProtection="1">
      <alignment horizontal="left" vertical="top" wrapText="1"/>
      <protection locked="0"/>
    </xf>
    <xf numFmtId="0" fontId="5" fillId="0" borderId="8" xfId="0" applyFont="1" applyBorder="1" applyAlignment="1" applyProtection="1">
      <alignment horizontal="left" vertical="top" wrapText="1"/>
      <protection locked="0"/>
    </xf>
    <xf numFmtId="0" fontId="5" fillId="0" borderId="9" xfId="0" applyFont="1" applyBorder="1" applyAlignment="1" applyProtection="1">
      <alignment horizontal="left" vertical="top" wrapText="1"/>
      <protection locked="0"/>
    </xf>
    <xf numFmtId="0" fontId="5" fillId="0" borderId="10" xfId="0" applyFont="1" applyBorder="1" applyAlignment="1" applyProtection="1">
      <alignment horizontal="left" vertical="top" wrapText="1"/>
      <protection locked="0"/>
    </xf>
  </cellXfs>
  <cellStyles count="2">
    <cellStyle name="Moeda" xfId="1" builtinId="4"/>
    <cellStyle name="Normal" xfId="0" builtinId="0"/>
  </cellStyles>
  <dxfs count="16">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5"/>
        <color rgb="FF110F0D"/>
        <name val="Arial"/>
        <scheme val="none"/>
      </font>
    </dxf>
    <dxf>
      <alignment horizontal="center" vertical="center" textRotation="0" wrapText="0" indent="0" justifyLastLine="0" shrinkToFit="0" readingOrder="0"/>
    </dxf>
    <dxf>
      <font>
        <b val="0"/>
        <i val="0"/>
        <strike val="0"/>
        <condense val="0"/>
        <extend val="0"/>
        <outline val="0"/>
        <shadow val="0"/>
        <u val="none"/>
        <vertAlign val="baseline"/>
        <sz val="10"/>
        <color rgb="FF110F0D"/>
        <name val="Arial"/>
        <scheme val="none"/>
      </font>
    </dxf>
    <dxf>
      <alignment horizontal="center" vertical="center" textRotation="0" wrapText="0" indent="0" justifyLastLine="0" shrinkToFit="0" readingOrder="0"/>
    </dxf>
    <dxf>
      <font>
        <b val="0"/>
        <i val="0"/>
        <strike val="0"/>
        <condense val="0"/>
        <extend val="0"/>
        <outline val="0"/>
        <shadow val="0"/>
        <u val="none"/>
        <vertAlign val="baseline"/>
        <sz val="10"/>
        <color rgb="FF110F0D"/>
        <name val="Arial"/>
        <scheme val="none"/>
      </font>
    </dxf>
    <dxf>
      <alignment horizontal="center" vertical="center" textRotation="0" wrapText="0" indent="0" justifyLastLine="0" shrinkToFit="0" readingOrder="0"/>
    </dxf>
    <dxf>
      <font>
        <b val="0"/>
        <i val="0"/>
        <strike val="0"/>
        <condense val="0"/>
        <extend val="0"/>
        <outline val="0"/>
        <shadow val="0"/>
        <u val="none"/>
        <vertAlign val="baseline"/>
        <sz val="11"/>
        <color rgb="FF110F0D"/>
        <name val="Arial"/>
        <scheme val="none"/>
      </font>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Radio" firstButton="1" fmlaLink="$A$30"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checked="Checked" firstButton="1" fmlaLink="$A$42"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GBox" noThreeD="1"/>
</file>

<file path=xl/ctrlProps/ctrlProp12.xml><?xml version="1.0" encoding="utf-8"?>
<formControlPr xmlns="http://schemas.microsoft.com/office/spreadsheetml/2009/9/main" objectType="Radio" firstButton="1" fmlaLink="$A$54" lockText="1" noThreeD="1"/>
</file>

<file path=xl/ctrlProps/ctrlProp13.xml><?xml version="1.0" encoding="utf-8"?>
<formControlPr xmlns="http://schemas.microsoft.com/office/spreadsheetml/2009/9/main" objectType="Radio" checked="Checked" lockText="1" noThreeD="1"/>
</file>

<file path=xl/ctrlProps/ctrlProp14.xml><?xml version="1.0" encoding="utf-8"?>
<formControlPr xmlns="http://schemas.microsoft.com/office/spreadsheetml/2009/9/main" objectType="GBox" noThreeD="1"/>
</file>

<file path=xl/ctrlProps/ctrlProp15.xml><?xml version="1.0" encoding="utf-8"?>
<formControlPr xmlns="http://schemas.microsoft.com/office/spreadsheetml/2009/9/main" objectType="Radio" firstButton="1" fmlaLink="$A$64" lockText="1" noThreeD="1"/>
</file>

<file path=xl/ctrlProps/ctrlProp16.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1771644</xdr:colOff>
      <xdr:row>0</xdr:row>
      <xdr:rowOff>55566</xdr:rowOff>
    </xdr:from>
    <xdr:to>
      <xdr:col>4</xdr:col>
      <xdr:colOff>1258127</xdr:colOff>
      <xdr:row>6</xdr:row>
      <xdr:rowOff>92476</xdr:rowOff>
    </xdr:to>
    <xdr:pic>
      <xdr:nvPicPr>
        <xdr:cNvPr id="11" name="Imagem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569" y="55566"/>
          <a:ext cx="1324808" cy="117991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57150</xdr:colOff>
          <xdr:row>28</xdr:row>
          <xdr:rowOff>114300</xdr:rowOff>
        </xdr:from>
        <xdr:to>
          <xdr:col>3</xdr:col>
          <xdr:colOff>1162050</xdr:colOff>
          <xdr:row>29</xdr:row>
          <xdr:rowOff>142875</xdr:rowOff>
        </xdr:to>
        <xdr:sp macro="" textlink="">
          <xdr:nvSpPr>
            <xdr:cNvPr id="2076" name="Option Button 28" hidden="1">
              <a:extLst>
                <a:ext uri="{63B3BB69-23CF-44E3-9099-C40C66FF867C}">
                  <a14:compatExt spid="_x0000_s2076"/>
                </a:ext>
                <a:ext uri="{FF2B5EF4-FFF2-40B4-BE49-F238E27FC236}">
                  <a16:creationId xmlns:a16="http://schemas.microsoft.com/office/drawing/2014/main" id="{00000000-0008-0000-0300-00001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Não se aplica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30</xdr:row>
          <xdr:rowOff>9525</xdr:rowOff>
        </xdr:from>
        <xdr:to>
          <xdr:col>3</xdr:col>
          <xdr:colOff>1162050</xdr:colOff>
          <xdr:row>31</xdr:row>
          <xdr:rowOff>38100</xdr:rowOff>
        </xdr:to>
        <xdr:sp macro="" textlink="">
          <xdr:nvSpPr>
            <xdr:cNvPr id="2077" name="Option Button 29" hidden="1">
              <a:extLst>
                <a:ext uri="{63B3BB69-23CF-44E3-9099-C40C66FF867C}">
                  <a14:compatExt spid="_x0000_s2077"/>
                </a:ext>
                <a:ext uri="{FF2B5EF4-FFF2-40B4-BE49-F238E27FC236}">
                  <a16:creationId xmlns:a16="http://schemas.microsoft.com/office/drawing/2014/main" id="{00000000-0008-0000-0300-00001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Uma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31</xdr:row>
          <xdr:rowOff>123825</xdr:rowOff>
        </xdr:from>
        <xdr:to>
          <xdr:col>3</xdr:col>
          <xdr:colOff>1162050</xdr:colOff>
          <xdr:row>32</xdr:row>
          <xdr:rowOff>152400</xdr:rowOff>
        </xdr:to>
        <xdr:sp macro="" textlink="">
          <xdr:nvSpPr>
            <xdr:cNvPr id="2078" name="Option Button 30" hidden="1">
              <a:extLst>
                <a:ext uri="{63B3BB69-23CF-44E3-9099-C40C66FF867C}">
                  <a14:compatExt spid="_x0000_s2078"/>
                </a:ext>
                <a:ext uri="{FF2B5EF4-FFF2-40B4-BE49-F238E27FC236}">
                  <a16:creationId xmlns:a16="http://schemas.microsoft.com/office/drawing/2014/main" id="{00000000-0008-0000-0300-00001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Duas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33</xdr:row>
          <xdr:rowOff>133350</xdr:rowOff>
        </xdr:from>
        <xdr:to>
          <xdr:col>3</xdr:col>
          <xdr:colOff>1162050</xdr:colOff>
          <xdr:row>34</xdr:row>
          <xdr:rowOff>161925</xdr:rowOff>
        </xdr:to>
        <xdr:sp macro="" textlink="">
          <xdr:nvSpPr>
            <xdr:cNvPr id="2081" name="Option Button 33" hidden="1">
              <a:extLst>
                <a:ext uri="{63B3BB69-23CF-44E3-9099-C40C66FF867C}">
                  <a14:compatExt spid="_x0000_s2081"/>
                </a:ext>
                <a:ext uri="{FF2B5EF4-FFF2-40B4-BE49-F238E27FC236}">
                  <a16:creationId xmlns:a16="http://schemas.microsoft.com/office/drawing/2014/main" id="{00000000-0008-0000-0300-00002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Três ou mais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41</xdr:row>
          <xdr:rowOff>104775</xdr:rowOff>
        </xdr:from>
        <xdr:to>
          <xdr:col>3</xdr:col>
          <xdr:colOff>1162050</xdr:colOff>
          <xdr:row>42</xdr:row>
          <xdr:rowOff>133350</xdr:rowOff>
        </xdr:to>
        <xdr:sp macro="" textlink="">
          <xdr:nvSpPr>
            <xdr:cNvPr id="2089" name="Option Button 41" hidden="1">
              <a:extLst>
                <a:ext uri="{63B3BB69-23CF-44E3-9099-C40C66FF867C}">
                  <a14:compatExt spid="_x0000_s2089"/>
                </a:ext>
                <a:ext uri="{FF2B5EF4-FFF2-40B4-BE49-F238E27FC236}">
                  <a16:creationId xmlns:a16="http://schemas.microsoft.com/office/drawing/2014/main" id="{00000000-0008-0000-0300-00002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Não se aplica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42</xdr:row>
          <xdr:rowOff>180975</xdr:rowOff>
        </xdr:from>
        <xdr:to>
          <xdr:col>3</xdr:col>
          <xdr:colOff>1162050</xdr:colOff>
          <xdr:row>44</xdr:row>
          <xdr:rowOff>19050</xdr:rowOff>
        </xdr:to>
        <xdr:sp macro="" textlink="">
          <xdr:nvSpPr>
            <xdr:cNvPr id="2090" name="Option Button 42" hidden="1">
              <a:extLst>
                <a:ext uri="{63B3BB69-23CF-44E3-9099-C40C66FF867C}">
                  <a14:compatExt spid="_x0000_s2090"/>
                </a:ext>
                <a:ext uri="{FF2B5EF4-FFF2-40B4-BE49-F238E27FC236}">
                  <a16:creationId xmlns:a16="http://schemas.microsoft.com/office/drawing/2014/main" id="{00000000-0008-0000-0300-00002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Uma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44</xdr:row>
          <xdr:rowOff>171450</xdr:rowOff>
        </xdr:from>
        <xdr:to>
          <xdr:col>3</xdr:col>
          <xdr:colOff>1162050</xdr:colOff>
          <xdr:row>46</xdr:row>
          <xdr:rowOff>9525</xdr:rowOff>
        </xdr:to>
        <xdr:sp macro="" textlink="">
          <xdr:nvSpPr>
            <xdr:cNvPr id="2091" name="Option Button 43" hidden="1">
              <a:extLst>
                <a:ext uri="{63B3BB69-23CF-44E3-9099-C40C66FF867C}">
                  <a14:compatExt spid="_x0000_s2091"/>
                </a:ext>
                <a:ext uri="{FF2B5EF4-FFF2-40B4-BE49-F238E27FC236}">
                  <a16:creationId xmlns:a16="http://schemas.microsoft.com/office/drawing/2014/main" id="{00000000-0008-0000-0300-00002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Duas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46</xdr:row>
          <xdr:rowOff>152400</xdr:rowOff>
        </xdr:from>
        <xdr:to>
          <xdr:col>3</xdr:col>
          <xdr:colOff>1162050</xdr:colOff>
          <xdr:row>47</xdr:row>
          <xdr:rowOff>180975</xdr:rowOff>
        </xdr:to>
        <xdr:sp macro="" textlink="">
          <xdr:nvSpPr>
            <xdr:cNvPr id="2092" name="Option Button 44" hidden="1">
              <a:extLst>
                <a:ext uri="{63B3BB69-23CF-44E3-9099-C40C66FF867C}">
                  <a14:compatExt spid="_x0000_s2092"/>
                </a:ext>
                <a:ext uri="{FF2B5EF4-FFF2-40B4-BE49-F238E27FC236}">
                  <a16:creationId xmlns:a16="http://schemas.microsoft.com/office/drawing/2014/main" id="{00000000-0008-0000-0300-00002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Três ou mais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28</xdr:row>
          <xdr:rowOff>47625</xdr:rowOff>
        </xdr:from>
        <xdr:to>
          <xdr:col>6</xdr:col>
          <xdr:colOff>447675</xdr:colOff>
          <xdr:row>35</xdr:row>
          <xdr:rowOff>152400</xdr:rowOff>
        </xdr:to>
        <xdr:sp macro="" textlink="">
          <xdr:nvSpPr>
            <xdr:cNvPr id="2093" name="Group Box 45" hidden="1">
              <a:extLst>
                <a:ext uri="{63B3BB69-23CF-44E3-9099-C40C66FF867C}">
                  <a14:compatExt spid="_x0000_s2093"/>
                </a:ext>
                <a:ext uri="{FF2B5EF4-FFF2-40B4-BE49-F238E27FC236}">
                  <a16:creationId xmlns:a16="http://schemas.microsoft.com/office/drawing/2014/main" id="{00000000-0008-0000-0300-00002D0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41</xdr:row>
          <xdr:rowOff>47625</xdr:rowOff>
        </xdr:from>
        <xdr:to>
          <xdr:col>6</xdr:col>
          <xdr:colOff>447675</xdr:colOff>
          <xdr:row>48</xdr:row>
          <xdr:rowOff>152400</xdr:rowOff>
        </xdr:to>
        <xdr:sp macro="" textlink="">
          <xdr:nvSpPr>
            <xdr:cNvPr id="2094" name="Group Box 46" hidden="1">
              <a:extLst>
                <a:ext uri="{63B3BB69-23CF-44E3-9099-C40C66FF867C}">
                  <a14:compatExt spid="_x0000_s2094"/>
                </a:ext>
                <a:ext uri="{FF2B5EF4-FFF2-40B4-BE49-F238E27FC236}">
                  <a16:creationId xmlns:a16="http://schemas.microsoft.com/office/drawing/2014/main" id="{00000000-0008-0000-0300-00002E0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304800</xdr:colOff>
          <xdr:row>52</xdr:row>
          <xdr:rowOff>104775</xdr:rowOff>
        </xdr:from>
        <xdr:to>
          <xdr:col>6</xdr:col>
          <xdr:colOff>438150</xdr:colOff>
          <xdr:row>57</xdr:row>
          <xdr:rowOff>47625</xdr:rowOff>
        </xdr:to>
        <xdr:sp macro="" textlink="">
          <xdr:nvSpPr>
            <xdr:cNvPr id="2095" name="Group Box 47" hidden="1">
              <a:extLst>
                <a:ext uri="{63B3BB69-23CF-44E3-9099-C40C66FF867C}">
                  <a14:compatExt spid="_x0000_s2095"/>
                </a:ext>
                <a:ext uri="{FF2B5EF4-FFF2-40B4-BE49-F238E27FC236}">
                  <a16:creationId xmlns:a16="http://schemas.microsoft.com/office/drawing/2014/main" id="{00000000-0008-0000-0300-00002F0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53</xdr:row>
          <xdr:rowOff>38100</xdr:rowOff>
        </xdr:from>
        <xdr:to>
          <xdr:col>4</xdr:col>
          <xdr:colOff>19050</xdr:colOff>
          <xdr:row>54</xdr:row>
          <xdr:rowOff>66675</xdr:rowOff>
        </xdr:to>
        <xdr:sp macro="" textlink="">
          <xdr:nvSpPr>
            <xdr:cNvPr id="2096" name="Option Button 48" hidden="1">
              <a:extLst>
                <a:ext uri="{63B3BB69-23CF-44E3-9099-C40C66FF867C}">
                  <a14:compatExt spid="_x0000_s2096"/>
                </a:ext>
                <a:ext uri="{FF2B5EF4-FFF2-40B4-BE49-F238E27FC236}">
                  <a16:creationId xmlns:a16="http://schemas.microsoft.com/office/drawing/2014/main" id="{00000000-0008-0000-0300-00003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Não Apurada e/ou Não Auferida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55</xdr:row>
          <xdr:rowOff>28575</xdr:rowOff>
        </xdr:from>
        <xdr:to>
          <xdr:col>4</xdr:col>
          <xdr:colOff>19050</xdr:colOff>
          <xdr:row>56</xdr:row>
          <xdr:rowOff>57150</xdr:rowOff>
        </xdr:to>
        <xdr:sp macro="" textlink="">
          <xdr:nvSpPr>
            <xdr:cNvPr id="2097" name="Option Button 49" hidden="1">
              <a:extLst>
                <a:ext uri="{63B3BB69-23CF-44E3-9099-C40C66FF867C}">
                  <a14:compatExt spid="_x0000_s2097"/>
                </a:ext>
                <a:ext uri="{FF2B5EF4-FFF2-40B4-BE49-F238E27FC236}">
                  <a16:creationId xmlns:a16="http://schemas.microsoft.com/office/drawing/2014/main" id="{00000000-0008-0000-0300-00003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Apurada e/ou Auferida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304800</xdr:colOff>
          <xdr:row>64</xdr:row>
          <xdr:rowOff>19050</xdr:rowOff>
        </xdr:from>
        <xdr:to>
          <xdr:col>6</xdr:col>
          <xdr:colOff>438150</xdr:colOff>
          <xdr:row>67</xdr:row>
          <xdr:rowOff>171450</xdr:rowOff>
        </xdr:to>
        <xdr:sp macro="" textlink="">
          <xdr:nvSpPr>
            <xdr:cNvPr id="2098" name="Group Box 50" hidden="1">
              <a:extLst>
                <a:ext uri="{63B3BB69-23CF-44E3-9099-C40C66FF867C}">
                  <a14:compatExt spid="_x0000_s2098"/>
                </a:ext>
                <a:ext uri="{FF2B5EF4-FFF2-40B4-BE49-F238E27FC236}">
                  <a16:creationId xmlns:a16="http://schemas.microsoft.com/office/drawing/2014/main" id="{00000000-0008-0000-0300-0000320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64</xdr:row>
          <xdr:rowOff>123825</xdr:rowOff>
        </xdr:from>
        <xdr:to>
          <xdr:col>3</xdr:col>
          <xdr:colOff>1123950</xdr:colOff>
          <xdr:row>65</xdr:row>
          <xdr:rowOff>142875</xdr:rowOff>
        </xdr:to>
        <xdr:sp macro="" textlink="">
          <xdr:nvSpPr>
            <xdr:cNvPr id="2099" name="Option Button 51" hidden="1">
              <a:extLst>
                <a:ext uri="{63B3BB69-23CF-44E3-9099-C40C66FF867C}">
                  <a14:compatExt spid="_x0000_s2099"/>
                </a:ext>
                <a:ext uri="{FF2B5EF4-FFF2-40B4-BE49-F238E27FC236}">
                  <a16:creationId xmlns:a16="http://schemas.microsoft.com/office/drawing/2014/main" id="{00000000-0008-0000-0300-00003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Sim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66</xdr:row>
          <xdr:rowOff>47625</xdr:rowOff>
        </xdr:from>
        <xdr:to>
          <xdr:col>3</xdr:col>
          <xdr:colOff>1123950</xdr:colOff>
          <xdr:row>67</xdr:row>
          <xdr:rowOff>66675</xdr:rowOff>
        </xdr:to>
        <xdr:sp macro="" textlink="">
          <xdr:nvSpPr>
            <xdr:cNvPr id="2100" name="Option Button 52" hidden="1">
              <a:extLst>
                <a:ext uri="{63B3BB69-23CF-44E3-9099-C40C66FF867C}">
                  <a14:compatExt spid="_x0000_s2100"/>
                </a:ext>
                <a:ext uri="{FF2B5EF4-FFF2-40B4-BE49-F238E27FC236}">
                  <a16:creationId xmlns:a16="http://schemas.microsoft.com/office/drawing/2014/main" id="{00000000-0008-0000-0300-00003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Não</a:t>
              </a:r>
            </a:p>
          </xdr:txBody>
        </xdr:sp>
        <xdr:clientData/>
      </xdr:twoCellAnchor>
    </mc:Choice>
    <mc:Fallback/>
  </mc:AlternateContent>
  <xdr:oneCellAnchor>
    <xdr:from>
      <xdr:col>0</xdr:col>
      <xdr:colOff>85725</xdr:colOff>
      <xdr:row>71</xdr:row>
      <xdr:rowOff>47625</xdr:rowOff>
    </xdr:from>
    <xdr:ext cx="2428037" cy="264560"/>
    <xdr:sp macro="" textlink="">
      <xdr:nvSpPr>
        <xdr:cNvPr id="2" name="CaixaDeTexto 1">
          <a:extLst>
            <a:ext uri="{FF2B5EF4-FFF2-40B4-BE49-F238E27FC236}">
              <a16:creationId xmlns:a16="http://schemas.microsoft.com/office/drawing/2014/main" id="{00000000-0008-0000-0300-000002000000}"/>
            </a:ext>
          </a:extLst>
        </xdr:cNvPr>
        <xdr:cNvSpPr txBox="1"/>
      </xdr:nvSpPr>
      <xdr:spPr>
        <a:xfrm>
          <a:off x="85725" y="13173075"/>
          <a:ext cx="242803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BR" sz="1100"/>
            <a:t>ASSINATURA: Carlos Marcolino da Silva</a:t>
          </a:r>
        </a:p>
      </xdr:txBody>
    </xdr:sp>
    <xdr:clientData/>
  </xdr:oneCellAnchor>
  <xdr:oneCellAnchor>
    <xdr:from>
      <xdr:col>4</xdr:col>
      <xdr:colOff>1085850</xdr:colOff>
      <xdr:row>71</xdr:row>
      <xdr:rowOff>47625</xdr:rowOff>
    </xdr:from>
    <xdr:ext cx="1503104" cy="264560"/>
    <xdr:sp macro="" textlink="">
      <xdr:nvSpPr>
        <xdr:cNvPr id="3" name="CaixaDeTexto 2">
          <a:extLst>
            <a:ext uri="{FF2B5EF4-FFF2-40B4-BE49-F238E27FC236}">
              <a16:creationId xmlns:a16="http://schemas.microsoft.com/office/drawing/2014/main" id="{00000000-0008-0000-0300-000003000000}"/>
            </a:ext>
          </a:extLst>
        </xdr:cNvPr>
        <xdr:cNvSpPr txBox="1"/>
      </xdr:nvSpPr>
      <xdr:spPr>
        <a:xfrm>
          <a:off x="3467100" y="13173075"/>
          <a:ext cx="15031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BR" sz="1100"/>
            <a:t>MATRÍCULA: 196508-D</a:t>
          </a: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ela6" displayName="Tabela6" ref="A6:B13" totalsRowShown="0">
  <autoFilter ref="A6:B13" xr:uid="{00000000-0009-0000-0100-000006000000}"/>
  <tableColumns count="2">
    <tableColumn id="1" xr3:uid="{00000000-0010-0000-0000-000001000000}" name="Nº" dataDxfId="15"/>
    <tableColumn id="2" xr3:uid="{00000000-0010-0000-0000-000002000000}" name="GRUPO_I"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ela7" displayName="Tabela7" ref="D6:E19" totalsRowShown="0">
  <autoFilter ref="D6:E19" xr:uid="{00000000-0009-0000-0100-000007000000}"/>
  <tableColumns count="2">
    <tableColumn id="1" xr3:uid="{00000000-0010-0000-0100-000001000000}" name="Nº" dataDxfId="13"/>
    <tableColumn id="2" xr3:uid="{00000000-0010-0000-0100-000002000000}" name="GRUPO_II"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Tabela8" displayName="Tabela8" ref="G6:H37" totalsRowShown="0">
  <autoFilter ref="G6:H37" xr:uid="{00000000-0009-0000-0100-000008000000}"/>
  <tableColumns count="2">
    <tableColumn id="1" xr3:uid="{00000000-0010-0000-0200-000001000000}" name="Nº" dataDxfId="11"/>
    <tableColumn id="2" xr3:uid="{00000000-0010-0000-0200-000002000000}" name="GRUPO_III"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3000000}" name="Tabela9" displayName="Tabela9" ref="J6:K14" totalsRowShown="0">
  <autoFilter ref="J6:K14" xr:uid="{00000000-0009-0000-0100-000009000000}"/>
  <tableColumns count="2">
    <tableColumn id="1" xr3:uid="{00000000-0010-0000-0300-000001000000}" name="Nº" dataDxfId="9"/>
    <tableColumn id="2" xr3:uid="{00000000-0010-0000-0300-000002000000}" name="GRUPO_IV"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Tabela_Infrator" displayName="Tabela_Infrator" ref="B7:B17" totalsRowShown="0">
  <autoFilter ref="B7:B17" xr:uid="{00000000-0009-0000-0100-000001000000}"/>
  <tableColumns count="1">
    <tableColumn id="1" xr3:uid="{00000000-0010-0000-0400-000001000000}" name="INFRATO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abela_Infracao" displayName="Tabela_Infracao" ref="H7:I12" totalsRowShown="0">
  <autoFilter ref="H7:I12" xr:uid="{00000000-0009-0000-0100-000003000000}"/>
  <tableColumns count="2">
    <tableColumn id="1" xr3:uid="{00000000-0010-0000-0500-000001000000}" name="INFRAÇÃO"/>
    <tableColumn id="2" xr3:uid="{00000000-0010-0000-0500-000002000000}" nam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6000000}" name="Tabela_Agravantes" displayName="Tabela_Agravantes" ref="K7:L11" totalsRowShown="0" headerRowDxfId="7">
  <autoFilter ref="K7:L11" xr:uid="{00000000-0009-0000-0100-000004000000}"/>
  <tableColumns count="2">
    <tableColumn id="1" xr3:uid="{00000000-0010-0000-0600-000001000000}" name="ATÉ" dataDxfId="6" dataCellStyle="Moeda"/>
    <tableColumn id="2" xr3:uid="{00000000-0010-0000-0600-000002000000}" name="FATO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7000000}" name="Tabela_Porte" displayName="Tabela_Porte" ref="E7:F13" totalsRowShown="0" headerRowDxfId="5" tableBorderDxfId="4">
  <autoFilter ref="E7:F13" xr:uid="{00000000-0009-0000-0100-000002000000}"/>
  <tableColumns count="2">
    <tableColumn id="1" xr3:uid="{00000000-0010-0000-0700-000001000000}" name="PORTE" dataDxfId="3"/>
    <tableColumn id="2" xr3:uid="{00000000-0010-0000-0700-000002000000}" name="(%)" dataDxfId="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8000000}" name="Tabela_Atenuantes" displayName="Tabela_Atenuantes" ref="N7:O11" totalsRowShown="0" headerRowDxfId="1">
  <autoFilter ref="N7:O11" xr:uid="{00000000-0009-0000-0100-000005000000}"/>
  <tableColumns count="2">
    <tableColumn id="1" xr3:uid="{00000000-0010-0000-0800-000001000000}" name="ATÉ" dataDxfId="0" dataCellStyle="Moeda"/>
    <tableColumn id="2" xr3:uid="{00000000-0010-0000-0800-000002000000}" name="FATOR"/>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5" Type="http://schemas.openxmlformats.org/officeDocument/2006/relationships/table" Target="../tables/table9.xml"/><Relationship Id="rId4" Type="http://schemas.openxmlformats.org/officeDocument/2006/relationships/table" Target="../tables/table8.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K37"/>
  <sheetViews>
    <sheetView topLeftCell="F1" workbookViewId="0">
      <selection activeCell="K8" sqref="K8"/>
    </sheetView>
  </sheetViews>
  <sheetFormatPr defaultRowHeight="15" x14ac:dyDescent="0.25"/>
  <cols>
    <col min="1" max="1" width="5.5703125" customWidth="1"/>
    <col min="2" max="2" width="77.85546875" bestFit="1" customWidth="1"/>
    <col min="3" max="3" width="2.7109375" customWidth="1"/>
    <col min="4" max="4" width="5.5703125" customWidth="1"/>
    <col min="5" max="5" width="69.5703125" bestFit="1" customWidth="1"/>
    <col min="6" max="6" width="2.7109375" customWidth="1"/>
    <col min="7" max="7" width="5.5703125" customWidth="1"/>
    <col min="8" max="8" width="75.7109375" bestFit="1" customWidth="1"/>
    <col min="9" max="9" width="2.7109375" customWidth="1"/>
    <col min="10" max="10" width="5.5703125" customWidth="1"/>
    <col min="11" max="11" width="72.85546875" bestFit="1" customWidth="1"/>
  </cols>
  <sheetData>
    <row r="6" spans="1:11" x14ac:dyDescent="0.25">
      <c r="A6" t="s">
        <v>59</v>
      </c>
      <c r="B6" t="s">
        <v>55</v>
      </c>
      <c r="D6" t="s">
        <v>59</v>
      </c>
      <c r="E6" s="1" t="s">
        <v>56</v>
      </c>
      <c r="G6" t="s">
        <v>59</v>
      </c>
      <c r="H6" s="1" t="s">
        <v>57</v>
      </c>
      <c r="J6" t="s">
        <v>59</v>
      </c>
      <c r="K6" s="1" t="s">
        <v>58</v>
      </c>
    </row>
    <row r="7" spans="1:11" x14ac:dyDescent="0.25">
      <c r="A7" s="39">
        <v>1</v>
      </c>
      <c r="B7" s="35"/>
      <c r="D7" s="39">
        <v>1</v>
      </c>
      <c r="E7" s="37"/>
      <c r="G7" s="39">
        <v>1</v>
      </c>
      <c r="H7" s="37"/>
      <c r="J7" s="39">
        <v>1</v>
      </c>
      <c r="K7" s="36"/>
    </row>
    <row r="8" spans="1:11" ht="85.5" x14ac:dyDescent="0.25">
      <c r="A8" s="39">
        <v>2</v>
      </c>
      <c r="B8" s="38" t="s">
        <v>64</v>
      </c>
      <c r="D8" s="39">
        <v>2</v>
      </c>
      <c r="E8" s="38" t="s">
        <v>70</v>
      </c>
      <c r="G8" s="39">
        <v>2</v>
      </c>
      <c r="H8" s="38" t="s">
        <v>82</v>
      </c>
      <c r="J8" s="39">
        <v>2</v>
      </c>
      <c r="K8" s="38" t="s">
        <v>112</v>
      </c>
    </row>
    <row r="9" spans="1:11" ht="71.25" x14ac:dyDescent="0.25">
      <c r="A9" s="39">
        <v>3</v>
      </c>
      <c r="B9" s="38" t="s">
        <v>69</v>
      </c>
      <c r="D9" s="39">
        <v>3</v>
      </c>
      <c r="E9" s="38" t="s">
        <v>71</v>
      </c>
      <c r="G9" s="39">
        <v>3</v>
      </c>
      <c r="H9" s="38" t="s">
        <v>83</v>
      </c>
      <c r="J9" s="39">
        <v>3</v>
      </c>
      <c r="K9" s="38" t="s">
        <v>113</v>
      </c>
    </row>
    <row r="10" spans="1:11" ht="85.5" x14ac:dyDescent="0.25">
      <c r="A10" s="39">
        <v>4</v>
      </c>
      <c r="B10" s="38" t="s">
        <v>68</v>
      </c>
      <c r="D10" s="39">
        <v>4</v>
      </c>
      <c r="E10" s="38" t="s">
        <v>72</v>
      </c>
      <c r="G10" s="39">
        <v>4</v>
      </c>
      <c r="H10" s="38" t="s">
        <v>84</v>
      </c>
      <c r="J10" s="39">
        <v>4</v>
      </c>
      <c r="K10" s="38" t="s">
        <v>114</v>
      </c>
    </row>
    <row r="11" spans="1:11" ht="71.25" x14ac:dyDescent="0.25">
      <c r="A11" s="39">
        <v>5</v>
      </c>
      <c r="B11" s="38" t="s">
        <v>65</v>
      </c>
      <c r="D11" s="39">
        <v>5</v>
      </c>
      <c r="E11" s="38" t="s">
        <v>73</v>
      </c>
      <c r="G11" s="39">
        <v>5</v>
      </c>
      <c r="H11" s="38" t="s">
        <v>85</v>
      </c>
      <c r="J11" s="39">
        <v>5</v>
      </c>
      <c r="K11" s="38" t="s">
        <v>115</v>
      </c>
    </row>
    <row r="12" spans="1:11" ht="71.25" x14ac:dyDescent="0.25">
      <c r="A12" s="39">
        <v>6</v>
      </c>
      <c r="B12" s="38" t="s">
        <v>67</v>
      </c>
      <c r="D12" s="39">
        <v>6</v>
      </c>
      <c r="E12" s="38" t="s">
        <v>74</v>
      </c>
      <c r="G12" s="39">
        <v>6</v>
      </c>
      <c r="H12" s="38" t="s">
        <v>86</v>
      </c>
      <c r="J12" s="39">
        <v>6</v>
      </c>
      <c r="K12" s="38" t="s">
        <v>116</v>
      </c>
    </row>
    <row r="13" spans="1:11" ht="85.5" x14ac:dyDescent="0.25">
      <c r="A13" s="39">
        <v>7</v>
      </c>
      <c r="B13" s="38" t="s">
        <v>66</v>
      </c>
      <c r="D13" s="39">
        <v>7</v>
      </c>
      <c r="E13" s="38" t="s">
        <v>75</v>
      </c>
      <c r="G13" s="39">
        <v>7</v>
      </c>
      <c r="H13" s="38" t="s">
        <v>87</v>
      </c>
      <c r="J13" s="39">
        <v>7</v>
      </c>
      <c r="K13" s="38" t="s">
        <v>117</v>
      </c>
    </row>
    <row r="14" spans="1:11" ht="85.5" x14ac:dyDescent="0.25">
      <c r="D14" s="39">
        <v>8</v>
      </c>
      <c r="E14" s="38" t="s">
        <v>76</v>
      </c>
      <c r="G14" s="39">
        <v>8</v>
      </c>
      <c r="H14" s="38" t="s">
        <v>88</v>
      </c>
      <c r="J14" s="39">
        <v>8</v>
      </c>
      <c r="K14" s="38" t="s">
        <v>118</v>
      </c>
    </row>
    <row r="15" spans="1:11" ht="42.75" x14ac:dyDescent="0.25">
      <c r="D15" s="39">
        <v>9</v>
      </c>
      <c r="E15" s="38" t="s">
        <v>77</v>
      </c>
      <c r="G15" s="39">
        <v>9</v>
      </c>
      <c r="H15" s="38" t="s">
        <v>89</v>
      </c>
    </row>
    <row r="16" spans="1:11" ht="71.25" x14ac:dyDescent="0.25">
      <c r="D16" s="39">
        <v>10</v>
      </c>
      <c r="E16" s="38" t="s">
        <v>78</v>
      </c>
      <c r="G16" s="39">
        <v>10</v>
      </c>
      <c r="H16" s="38" t="s">
        <v>90</v>
      </c>
    </row>
    <row r="17" spans="4:8" ht="57" x14ac:dyDescent="0.25">
      <c r="D17" s="39">
        <v>11</v>
      </c>
      <c r="E17" s="38" t="s">
        <v>79</v>
      </c>
      <c r="G17" s="39">
        <v>11</v>
      </c>
      <c r="H17" s="38" t="s">
        <v>91</v>
      </c>
    </row>
    <row r="18" spans="4:8" ht="71.25" x14ac:dyDescent="0.25">
      <c r="D18" s="39">
        <v>12</v>
      </c>
      <c r="E18" s="38" t="s">
        <v>80</v>
      </c>
      <c r="G18" s="39">
        <v>12</v>
      </c>
      <c r="H18" s="38" t="s">
        <v>92</v>
      </c>
    </row>
    <row r="19" spans="4:8" ht="57" x14ac:dyDescent="0.25">
      <c r="D19" s="39">
        <v>13</v>
      </c>
      <c r="E19" s="38" t="s">
        <v>81</v>
      </c>
      <c r="G19" s="39">
        <v>13</v>
      </c>
      <c r="H19" s="38" t="s">
        <v>93</v>
      </c>
    </row>
    <row r="20" spans="4:8" ht="42.75" x14ac:dyDescent="0.25">
      <c r="G20" s="39">
        <v>14</v>
      </c>
      <c r="H20" s="38" t="s">
        <v>94</v>
      </c>
    </row>
    <row r="21" spans="4:8" ht="42.75" x14ac:dyDescent="0.25">
      <c r="G21" s="39">
        <v>15</v>
      </c>
      <c r="H21" s="38" t="s">
        <v>95</v>
      </c>
    </row>
    <row r="22" spans="4:8" ht="57" x14ac:dyDescent="0.25">
      <c r="G22" s="39">
        <v>16</v>
      </c>
      <c r="H22" s="38" t="s">
        <v>96</v>
      </c>
    </row>
    <row r="23" spans="4:8" ht="57" x14ac:dyDescent="0.25">
      <c r="G23" s="39">
        <v>17</v>
      </c>
      <c r="H23" s="38" t="s">
        <v>97</v>
      </c>
    </row>
    <row r="24" spans="4:8" ht="85.5" x14ac:dyDescent="0.25">
      <c r="G24" s="39">
        <v>18</v>
      </c>
      <c r="H24" s="38" t="s">
        <v>98</v>
      </c>
    </row>
    <row r="25" spans="4:8" ht="28.5" x14ac:dyDescent="0.25">
      <c r="G25" s="39">
        <v>19</v>
      </c>
      <c r="H25" s="38" t="s">
        <v>99</v>
      </c>
    </row>
    <row r="26" spans="4:8" ht="28.5" x14ac:dyDescent="0.25">
      <c r="G26" s="39">
        <v>20</v>
      </c>
      <c r="H26" s="38" t="s">
        <v>100</v>
      </c>
    </row>
    <row r="27" spans="4:8" ht="57" x14ac:dyDescent="0.25">
      <c r="G27" s="39">
        <v>21</v>
      </c>
      <c r="H27" s="38" t="s">
        <v>101</v>
      </c>
    </row>
    <row r="28" spans="4:8" ht="42.75" x14ac:dyDescent="0.25">
      <c r="G28" s="39">
        <v>22</v>
      </c>
      <c r="H28" s="38" t="s">
        <v>102</v>
      </c>
    </row>
    <row r="29" spans="4:8" ht="42.75" x14ac:dyDescent="0.25">
      <c r="G29" s="39">
        <v>23</v>
      </c>
      <c r="H29" s="38" t="s">
        <v>103</v>
      </c>
    </row>
    <row r="30" spans="4:8" ht="42.75" x14ac:dyDescent="0.25">
      <c r="G30" s="39">
        <v>24</v>
      </c>
      <c r="H30" s="38" t="s">
        <v>104</v>
      </c>
    </row>
    <row r="31" spans="4:8" ht="71.25" x14ac:dyDescent="0.25">
      <c r="G31" s="39">
        <v>25</v>
      </c>
      <c r="H31" s="38" t="s">
        <v>105</v>
      </c>
    </row>
    <row r="32" spans="4:8" ht="42.75" x14ac:dyDescent="0.25">
      <c r="G32" s="39">
        <v>26</v>
      </c>
      <c r="H32" s="38" t="s">
        <v>106</v>
      </c>
    </row>
    <row r="33" spans="7:8" ht="28.5" x14ac:dyDescent="0.25">
      <c r="G33" s="39">
        <v>27</v>
      </c>
      <c r="H33" s="38" t="s">
        <v>107</v>
      </c>
    </row>
    <row r="34" spans="7:8" ht="28.5" x14ac:dyDescent="0.25">
      <c r="G34" s="39">
        <v>28</v>
      </c>
      <c r="H34" s="38" t="s">
        <v>108</v>
      </c>
    </row>
    <row r="35" spans="7:8" ht="42.75" x14ac:dyDescent="0.25">
      <c r="G35" s="39">
        <v>29</v>
      </c>
      <c r="H35" s="38" t="s">
        <v>109</v>
      </c>
    </row>
    <row r="36" spans="7:8" ht="57" x14ac:dyDescent="0.25">
      <c r="G36" s="39">
        <v>30</v>
      </c>
      <c r="H36" s="38" t="s">
        <v>110</v>
      </c>
    </row>
    <row r="37" spans="7:8" ht="42.75" x14ac:dyDescent="0.25">
      <c r="G37" s="39">
        <v>31</v>
      </c>
      <c r="H37" s="38" t="s">
        <v>111</v>
      </c>
    </row>
  </sheetData>
  <pageMargins left="0.511811024" right="0.511811024" top="0.78740157499999996" bottom="0.78740157499999996" header="0.31496062000000002" footer="0.31496062000000002"/>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B10"/>
  <sheetViews>
    <sheetView workbookViewId="0">
      <selection activeCell="B14" sqref="B14"/>
    </sheetView>
  </sheetViews>
  <sheetFormatPr defaultRowHeight="15" x14ac:dyDescent="0.25"/>
  <cols>
    <col min="2" max="2" width="172.7109375" customWidth="1"/>
  </cols>
  <sheetData>
    <row r="5" spans="1:2" x14ac:dyDescent="0.25">
      <c r="B5" t="s">
        <v>119</v>
      </c>
    </row>
    <row r="6" spans="1:2" ht="30" x14ac:dyDescent="0.25">
      <c r="A6" s="39" t="s">
        <v>120</v>
      </c>
      <c r="B6" s="44" t="s">
        <v>125</v>
      </c>
    </row>
    <row r="7" spans="1:2" x14ac:dyDescent="0.25">
      <c r="A7" s="39" t="s">
        <v>121</v>
      </c>
      <c r="B7" s="44" t="s">
        <v>126</v>
      </c>
    </row>
    <row r="8" spans="1:2" ht="30" x14ac:dyDescent="0.25">
      <c r="A8" s="39" t="s">
        <v>122</v>
      </c>
      <c r="B8" s="44" t="s">
        <v>127</v>
      </c>
    </row>
    <row r="9" spans="1:2" x14ac:dyDescent="0.25">
      <c r="A9" s="39" t="s">
        <v>123</v>
      </c>
      <c r="B9" s="44" t="s">
        <v>128</v>
      </c>
    </row>
    <row r="10" spans="1:2" ht="45" x14ac:dyDescent="0.25">
      <c r="A10" s="39" t="s">
        <v>124</v>
      </c>
      <c r="B10" s="44" t="s">
        <v>129</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1"/>
  <dimension ref="B5:O17"/>
  <sheetViews>
    <sheetView showGridLines="0" workbookViewId="0">
      <selection activeCell="H13" sqref="H13"/>
    </sheetView>
  </sheetViews>
  <sheetFormatPr defaultRowHeight="15" x14ac:dyDescent="0.25"/>
  <cols>
    <col min="1" max="1" width="1.85546875" customWidth="1"/>
    <col min="2" max="2" width="26.42578125" bestFit="1" customWidth="1"/>
    <col min="3" max="4" width="1" customWidth="1"/>
    <col min="5" max="6" width="19.5703125" bestFit="1" customWidth="1"/>
    <col min="7" max="7" width="1" customWidth="1"/>
    <col min="8" max="8" width="19.5703125" bestFit="1" customWidth="1"/>
    <col min="9" max="9" width="14.7109375" bestFit="1" customWidth="1"/>
    <col min="10" max="10" width="1" customWidth="1"/>
    <col min="11" max="11" width="13.28515625" bestFit="1" customWidth="1"/>
    <col min="12" max="12" width="13" customWidth="1"/>
    <col min="13" max="13" width="4.5703125" customWidth="1"/>
    <col min="14" max="14" width="8.85546875" bestFit="1" customWidth="1"/>
    <col min="15" max="15" width="14.85546875" customWidth="1"/>
    <col min="16" max="16" width="5.5703125" customWidth="1"/>
  </cols>
  <sheetData>
    <row r="5" spans="2:15" x14ac:dyDescent="0.25">
      <c r="B5" s="6" t="s">
        <v>40</v>
      </c>
      <c r="C5" s="6"/>
      <c r="E5" s="63" t="s">
        <v>33</v>
      </c>
      <c r="F5" s="63"/>
      <c r="G5" s="1"/>
      <c r="H5" s="63" t="s">
        <v>25</v>
      </c>
      <c r="I5" s="63"/>
      <c r="K5" s="63" t="s">
        <v>8</v>
      </c>
      <c r="L5" s="63"/>
      <c r="N5" s="63" t="s">
        <v>38</v>
      </c>
      <c r="O5" s="63"/>
    </row>
    <row r="7" spans="2:15" x14ac:dyDescent="0.25">
      <c r="B7" t="s">
        <v>1</v>
      </c>
      <c r="E7" s="4" t="s">
        <v>23</v>
      </c>
      <c r="F7" s="4" t="s">
        <v>0</v>
      </c>
      <c r="H7" t="s">
        <v>5</v>
      </c>
      <c r="I7" s="1" t="s">
        <v>0</v>
      </c>
      <c r="K7" s="1" t="s">
        <v>17</v>
      </c>
      <c r="L7" s="1" t="s">
        <v>24</v>
      </c>
      <c r="M7" s="3"/>
      <c r="N7" s="1" t="s">
        <v>17</v>
      </c>
      <c r="O7" s="1" t="s">
        <v>24</v>
      </c>
    </row>
    <row r="8" spans="2:15" x14ac:dyDescent="0.25">
      <c r="K8" s="5">
        <v>1</v>
      </c>
      <c r="L8">
        <v>0</v>
      </c>
      <c r="N8" s="5">
        <v>1</v>
      </c>
      <c r="O8">
        <v>0</v>
      </c>
    </row>
    <row r="9" spans="2:15" x14ac:dyDescent="0.25">
      <c r="B9" t="s">
        <v>19</v>
      </c>
      <c r="E9" s="7" t="s">
        <v>27</v>
      </c>
      <c r="F9" s="9">
        <v>0.15</v>
      </c>
      <c r="H9" t="s">
        <v>60</v>
      </c>
      <c r="I9">
        <v>0.15</v>
      </c>
      <c r="K9" s="5">
        <v>2</v>
      </c>
      <c r="L9">
        <v>0.1</v>
      </c>
      <c r="N9" s="5">
        <v>2</v>
      </c>
      <c r="O9">
        <v>0.05</v>
      </c>
    </row>
    <row r="10" spans="2:15" x14ac:dyDescent="0.25">
      <c r="B10" t="s">
        <v>20</v>
      </c>
      <c r="D10" s="2"/>
      <c r="E10" s="8" t="s">
        <v>28</v>
      </c>
      <c r="F10" s="10">
        <v>0.2</v>
      </c>
      <c r="H10" t="s">
        <v>61</v>
      </c>
      <c r="I10">
        <v>0.2</v>
      </c>
      <c r="K10" s="5">
        <v>3</v>
      </c>
      <c r="L10">
        <v>0.2</v>
      </c>
      <c r="N10" s="5">
        <v>3</v>
      </c>
      <c r="O10">
        <v>0.1</v>
      </c>
    </row>
    <row r="11" spans="2:15" x14ac:dyDescent="0.25">
      <c r="B11" t="s">
        <v>21</v>
      </c>
      <c r="E11" s="7" t="s">
        <v>29</v>
      </c>
      <c r="F11" s="9">
        <v>0.3</v>
      </c>
      <c r="H11" t="s">
        <v>62</v>
      </c>
      <c r="I11">
        <v>0.25</v>
      </c>
      <c r="K11" s="5">
        <v>4</v>
      </c>
      <c r="L11">
        <v>0.3</v>
      </c>
      <c r="N11" s="5">
        <v>4</v>
      </c>
      <c r="O11">
        <v>0.15</v>
      </c>
    </row>
    <row r="12" spans="2:15" x14ac:dyDescent="0.25">
      <c r="B12" t="s">
        <v>22</v>
      </c>
      <c r="E12" s="8" t="s">
        <v>30</v>
      </c>
      <c r="F12" s="10">
        <v>0.4</v>
      </c>
      <c r="H12" t="s">
        <v>63</v>
      </c>
      <c r="I12">
        <v>0.3</v>
      </c>
      <c r="K12" s="5"/>
    </row>
    <row r="13" spans="2:15" x14ac:dyDescent="0.25">
      <c r="B13" t="s">
        <v>6</v>
      </c>
      <c r="E13" t="s">
        <v>31</v>
      </c>
      <c r="F13">
        <v>0.5</v>
      </c>
      <c r="G13" s="1"/>
      <c r="K13" s="2"/>
    </row>
    <row r="14" spans="2:15" x14ac:dyDescent="0.25">
      <c r="B14" t="s">
        <v>7</v>
      </c>
      <c r="K14" s="2"/>
    </row>
    <row r="15" spans="2:15" x14ac:dyDescent="0.25">
      <c r="B15" t="s">
        <v>41</v>
      </c>
      <c r="K15" s="2"/>
    </row>
    <row r="16" spans="2:15" x14ac:dyDescent="0.25">
      <c r="B16" t="s">
        <v>51</v>
      </c>
      <c r="K16" s="2"/>
    </row>
    <row r="17" spans="2:11" x14ac:dyDescent="0.25">
      <c r="B17" t="s">
        <v>52</v>
      </c>
      <c r="K17" s="2"/>
    </row>
  </sheetData>
  <mergeCells count="4">
    <mergeCell ref="K5:L5"/>
    <mergeCell ref="H5:I5"/>
    <mergeCell ref="E5:F5"/>
    <mergeCell ref="N5:O5"/>
  </mergeCells>
  <pageMargins left="0.511811024" right="0.511811024" top="0.78740157499999996" bottom="0.78740157499999996" header="0.31496062000000002" footer="0.31496062000000002"/>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2"/>
  <dimension ref="A8:I79"/>
  <sheetViews>
    <sheetView showGridLines="0" tabSelected="1" zoomScale="115" zoomScaleNormal="115" workbookViewId="0">
      <selection activeCell="K20" sqref="K20"/>
    </sheetView>
  </sheetViews>
  <sheetFormatPr defaultRowHeight="15" x14ac:dyDescent="0.25"/>
  <cols>
    <col min="1" max="2" width="1.7109375" style="11" customWidth="1"/>
    <col min="3" max="3" width="4.7109375" style="19" customWidth="1"/>
    <col min="4" max="4" width="27.5703125" style="11" bestFit="1" customWidth="1"/>
    <col min="5" max="5" width="27" style="11" bestFit="1" customWidth="1"/>
    <col min="6" max="6" width="8.85546875" style="11" bestFit="1" customWidth="1"/>
    <col min="7" max="7" width="20.28515625" style="11" customWidth="1"/>
    <col min="8" max="8" width="0.5703125" style="11" hidden="1" customWidth="1"/>
    <col min="9" max="9" width="12.7109375" style="11" bestFit="1" customWidth="1"/>
    <col min="10" max="16384" width="9.140625" style="11"/>
  </cols>
  <sheetData>
    <row r="8" spans="2:8" x14ac:dyDescent="0.25">
      <c r="C8" s="64" t="s">
        <v>18</v>
      </c>
      <c r="D8" s="64"/>
      <c r="E8" s="64"/>
      <c r="F8" s="64"/>
      <c r="G8" s="64"/>
      <c r="H8" s="12"/>
    </row>
    <row r="9" spans="2:8" x14ac:dyDescent="0.25">
      <c r="B9" s="13"/>
      <c r="C9" s="45"/>
      <c r="D9" s="14"/>
      <c r="E9" s="14"/>
      <c r="F9" s="14"/>
      <c r="G9" s="15"/>
    </row>
    <row r="10" spans="2:8" x14ac:dyDescent="0.25">
      <c r="B10" s="16"/>
      <c r="D10" s="17" t="s">
        <v>130</v>
      </c>
      <c r="E10" s="41" t="s">
        <v>135</v>
      </c>
      <c r="G10" s="18"/>
    </row>
    <row r="11" spans="2:8" x14ac:dyDescent="0.25">
      <c r="B11" s="16"/>
      <c r="D11" s="14"/>
      <c r="E11" s="14"/>
      <c r="G11" s="18"/>
    </row>
    <row r="12" spans="2:8" x14ac:dyDescent="0.25">
      <c r="B12" s="16"/>
      <c r="D12" s="17" t="s">
        <v>4</v>
      </c>
      <c r="E12" s="41" t="s">
        <v>132</v>
      </c>
      <c r="G12" s="18"/>
    </row>
    <row r="13" spans="2:8" x14ac:dyDescent="0.25">
      <c r="B13" s="16"/>
      <c r="D13" s="19"/>
      <c r="G13" s="18"/>
    </row>
    <row r="14" spans="2:8" x14ac:dyDescent="0.25">
      <c r="B14" s="16"/>
      <c r="C14" s="19" t="s">
        <v>11</v>
      </c>
      <c r="D14" s="17" t="s">
        <v>26</v>
      </c>
      <c r="E14" s="40">
        <v>12341.18</v>
      </c>
      <c r="G14" s="18"/>
    </row>
    <row r="15" spans="2:8" x14ac:dyDescent="0.25">
      <c r="B15" s="16"/>
      <c r="D15" s="19"/>
      <c r="G15" s="18"/>
    </row>
    <row r="16" spans="2:8" x14ac:dyDescent="0.25">
      <c r="B16" s="16"/>
      <c r="C16" s="19" t="s">
        <v>12</v>
      </c>
      <c r="D16" s="17" t="s">
        <v>32</v>
      </c>
      <c r="E16" s="42" t="s">
        <v>31</v>
      </c>
      <c r="F16" s="53">
        <f>IFERROR(VLOOKUP(E16,Tabela_Porte[],2,0),"")</f>
        <v>0.5</v>
      </c>
      <c r="G16" s="18"/>
    </row>
    <row r="17" spans="1:7" x14ac:dyDescent="0.25">
      <c r="B17" s="16"/>
      <c r="E17" s="21"/>
      <c r="G17" s="18"/>
    </row>
    <row r="18" spans="1:7" x14ac:dyDescent="0.25">
      <c r="B18" s="16"/>
      <c r="D18" s="17" t="s">
        <v>39</v>
      </c>
      <c r="E18" s="54">
        <f>E14*F16+E14</f>
        <v>18511.77</v>
      </c>
      <c r="G18" s="18"/>
    </row>
    <row r="19" spans="1:7" x14ac:dyDescent="0.25">
      <c r="B19" s="16"/>
      <c r="D19" s="19"/>
      <c r="G19" s="18"/>
    </row>
    <row r="20" spans="1:7" x14ac:dyDescent="0.25">
      <c r="B20" s="16"/>
      <c r="C20" s="19" t="s">
        <v>13</v>
      </c>
      <c r="D20" s="17" t="s">
        <v>3</v>
      </c>
      <c r="E20" s="41" t="s">
        <v>62</v>
      </c>
      <c r="F20" s="55">
        <f>IFERROR(VLOOKUP(E20,Tabela_Infracao[],2,0),"")</f>
        <v>0.25</v>
      </c>
      <c r="G20" s="18"/>
    </row>
    <row r="21" spans="1:7" x14ac:dyDescent="0.25">
      <c r="B21" s="16"/>
      <c r="D21" s="19"/>
      <c r="G21" s="18"/>
    </row>
    <row r="22" spans="1:7" x14ac:dyDescent="0.25">
      <c r="B22" s="16"/>
      <c r="C22" s="19" t="s">
        <v>35</v>
      </c>
      <c r="D22" s="17" t="s">
        <v>34</v>
      </c>
      <c r="E22" s="56">
        <f>E18*F20+E18</f>
        <v>23139.712500000001</v>
      </c>
      <c r="G22" s="18"/>
    </row>
    <row r="23" spans="1:7" x14ac:dyDescent="0.25">
      <c r="B23" s="16"/>
      <c r="D23" s="19"/>
      <c r="G23" s="18"/>
    </row>
    <row r="24" spans="1:7" x14ac:dyDescent="0.25">
      <c r="B24" s="16"/>
      <c r="D24" s="32" t="s">
        <v>50</v>
      </c>
      <c r="E24" s="33"/>
      <c r="G24" s="18"/>
    </row>
    <row r="25" spans="1:7" x14ac:dyDescent="0.25">
      <c r="B25" s="16"/>
      <c r="D25" s="19"/>
      <c r="G25" s="18"/>
    </row>
    <row r="26" spans="1:7" ht="5.0999999999999996" customHeight="1" x14ac:dyDescent="0.25">
      <c r="B26" s="48"/>
      <c r="C26" s="49"/>
      <c r="D26" s="49"/>
      <c r="E26" s="33"/>
      <c r="F26" s="33"/>
      <c r="G26" s="50"/>
    </row>
    <row r="27" spans="1:7" x14ac:dyDescent="0.25">
      <c r="B27" s="16"/>
      <c r="D27" s="19"/>
      <c r="G27" s="18"/>
    </row>
    <row r="28" spans="1:7" x14ac:dyDescent="0.25">
      <c r="B28" s="16"/>
      <c r="C28" s="19" t="s">
        <v>14</v>
      </c>
      <c r="D28" s="22" t="s">
        <v>2</v>
      </c>
      <c r="G28" s="18"/>
    </row>
    <row r="29" spans="1:7" x14ac:dyDescent="0.25">
      <c r="B29" s="16"/>
      <c r="D29" s="23"/>
      <c r="G29" s="18"/>
    </row>
    <row r="30" spans="1:7" x14ac:dyDescent="0.25">
      <c r="A30" s="20">
        <v>2</v>
      </c>
      <c r="B30" s="47"/>
      <c r="D30" s="23"/>
      <c r="G30" s="18"/>
    </row>
    <row r="31" spans="1:7" x14ac:dyDescent="0.25">
      <c r="B31" s="16"/>
      <c r="E31" s="34" t="s">
        <v>43</v>
      </c>
      <c r="G31" s="18"/>
    </row>
    <row r="32" spans="1:7" s="24" customFormat="1" x14ac:dyDescent="0.25">
      <c r="B32" s="25"/>
      <c r="C32" s="52"/>
      <c r="E32" s="11"/>
      <c r="G32" s="26"/>
    </row>
    <row r="33" spans="1:7" s="24" customFormat="1" x14ac:dyDescent="0.2">
      <c r="B33" s="25"/>
      <c r="C33" s="52"/>
      <c r="E33" s="34" t="s">
        <v>44</v>
      </c>
      <c r="G33" s="26"/>
    </row>
    <row r="34" spans="1:7" x14ac:dyDescent="0.25">
      <c r="B34" s="16"/>
      <c r="G34" s="18"/>
    </row>
    <row r="35" spans="1:7" s="24" customFormat="1" x14ac:dyDescent="0.2">
      <c r="B35" s="25"/>
      <c r="C35" s="52"/>
      <c r="E35" s="34" t="s">
        <v>45</v>
      </c>
      <c r="G35" s="26"/>
    </row>
    <row r="36" spans="1:7" s="24" customFormat="1" x14ac:dyDescent="0.25">
      <c r="B36" s="25"/>
      <c r="C36" s="52"/>
      <c r="E36" s="11"/>
      <c r="G36" s="26"/>
    </row>
    <row r="37" spans="1:7" x14ac:dyDescent="0.25">
      <c r="B37" s="16"/>
      <c r="D37" s="22" t="s">
        <v>36</v>
      </c>
      <c r="E37" s="57">
        <f>IFERROR(VLOOKUP(A30,Tabela_Agravantes[],2,0)*E22+E22,"")</f>
        <v>25453.68375</v>
      </c>
      <c r="G37" s="18"/>
    </row>
    <row r="38" spans="1:7" x14ac:dyDescent="0.25">
      <c r="B38" s="16"/>
      <c r="E38" s="27"/>
      <c r="G38" s="18"/>
    </row>
    <row r="39" spans="1:7" ht="5.0999999999999996" customHeight="1" x14ac:dyDescent="0.25">
      <c r="B39" s="48"/>
      <c r="C39" s="49"/>
      <c r="D39" s="33"/>
      <c r="E39" s="51"/>
      <c r="F39" s="33"/>
      <c r="G39" s="50"/>
    </row>
    <row r="40" spans="1:7" x14ac:dyDescent="0.25">
      <c r="B40" s="16"/>
      <c r="G40" s="18"/>
    </row>
    <row r="41" spans="1:7" x14ac:dyDescent="0.25">
      <c r="B41" s="16"/>
      <c r="C41" s="19" t="s">
        <v>15</v>
      </c>
      <c r="D41" s="22" t="s">
        <v>9</v>
      </c>
      <c r="G41" s="18"/>
    </row>
    <row r="42" spans="1:7" x14ac:dyDescent="0.25">
      <c r="A42" s="20">
        <v>1</v>
      </c>
      <c r="B42" s="47"/>
      <c r="G42" s="18"/>
    </row>
    <row r="43" spans="1:7" x14ac:dyDescent="0.25">
      <c r="B43" s="16"/>
      <c r="G43" s="18"/>
    </row>
    <row r="44" spans="1:7" x14ac:dyDescent="0.25">
      <c r="B44" s="16"/>
      <c r="E44" s="34" t="s">
        <v>46</v>
      </c>
      <c r="G44" s="18"/>
    </row>
    <row r="45" spans="1:7" x14ac:dyDescent="0.25">
      <c r="B45" s="16"/>
      <c r="G45" s="18"/>
    </row>
    <row r="46" spans="1:7" x14ac:dyDescent="0.25">
      <c r="B46" s="16"/>
      <c r="E46" s="34" t="s">
        <v>47</v>
      </c>
      <c r="G46" s="18"/>
    </row>
    <row r="47" spans="1:7" x14ac:dyDescent="0.25">
      <c r="B47" s="16"/>
      <c r="G47" s="18"/>
    </row>
    <row r="48" spans="1:7" x14ac:dyDescent="0.25">
      <c r="B48" s="16"/>
      <c r="E48" s="34" t="s">
        <v>48</v>
      </c>
      <c r="G48" s="18"/>
    </row>
    <row r="49" spans="1:9" x14ac:dyDescent="0.25">
      <c r="B49" s="16"/>
      <c r="G49" s="18"/>
    </row>
    <row r="50" spans="1:9" x14ac:dyDescent="0.25">
      <c r="B50" s="16"/>
      <c r="D50" s="22" t="s">
        <v>37</v>
      </c>
      <c r="E50" s="57">
        <f>E37-IFERROR(VLOOKUP(A42,Tabela_Atenuantes[],2,0)*E37,"")</f>
        <v>25453.68375</v>
      </c>
      <c r="G50" s="18"/>
      <c r="H50" s="28"/>
      <c r="I50" s="28"/>
    </row>
    <row r="51" spans="1:9" x14ac:dyDescent="0.25">
      <c r="B51" s="16"/>
      <c r="D51" s="27"/>
      <c r="E51" s="27"/>
      <c r="G51" s="18"/>
    </row>
    <row r="52" spans="1:9" x14ac:dyDescent="0.25">
      <c r="B52" s="16"/>
      <c r="C52" s="19" t="s">
        <v>16</v>
      </c>
      <c r="D52" s="22" t="s">
        <v>42</v>
      </c>
      <c r="E52" s="27"/>
      <c r="G52" s="18"/>
    </row>
    <row r="53" spans="1:9" x14ac:dyDescent="0.25">
      <c r="B53" s="16"/>
      <c r="D53" s="27"/>
      <c r="E53" s="27"/>
      <c r="G53" s="18"/>
    </row>
    <row r="54" spans="1:9" x14ac:dyDescent="0.25">
      <c r="A54" s="20">
        <v>2</v>
      </c>
      <c r="B54" s="47"/>
      <c r="D54" s="27"/>
      <c r="E54" s="27"/>
      <c r="G54" s="18"/>
    </row>
    <row r="55" spans="1:9" x14ac:dyDescent="0.25">
      <c r="B55" s="16"/>
      <c r="D55" s="27"/>
      <c r="E55" s="27"/>
      <c r="G55" s="18"/>
    </row>
    <row r="56" spans="1:9" x14ac:dyDescent="0.25">
      <c r="B56" s="16"/>
      <c r="D56" s="27"/>
      <c r="E56" s="43" t="s">
        <v>49</v>
      </c>
      <c r="G56" s="18"/>
    </row>
    <row r="57" spans="1:9" x14ac:dyDescent="0.25">
      <c r="B57" s="16"/>
      <c r="D57" s="27"/>
      <c r="E57" s="27"/>
      <c r="G57" s="18"/>
    </row>
    <row r="58" spans="1:9" x14ac:dyDescent="0.25">
      <c r="B58" s="16"/>
      <c r="D58" s="27"/>
      <c r="E58" s="27"/>
      <c r="G58" s="18"/>
    </row>
    <row r="59" spans="1:9" x14ac:dyDescent="0.25">
      <c r="B59" s="16"/>
      <c r="D59" s="22" t="s">
        <v>37</v>
      </c>
      <c r="E59" s="58">
        <f>IF(A54=1,E50,(E50*0.05)+E50)</f>
        <v>26726.367937499999</v>
      </c>
      <c r="G59" s="18"/>
    </row>
    <row r="60" spans="1:9" x14ac:dyDescent="0.25">
      <c r="B60" s="16"/>
      <c r="G60" s="18"/>
    </row>
    <row r="61" spans="1:9" ht="5.0999999999999996" customHeight="1" x14ac:dyDescent="0.25">
      <c r="B61" s="48"/>
      <c r="C61" s="49"/>
      <c r="D61" s="33"/>
      <c r="E61" s="33"/>
      <c r="F61" s="33"/>
      <c r="G61" s="50"/>
    </row>
    <row r="62" spans="1:9" x14ac:dyDescent="0.25">
      <c r="B62" s="16"/>
      <c r="G62" s="18"/>
    </row>
    <row r="63" spans="1:9" x14ac:dyDescent="0.25">
      <c r="B63" s="16"/>
      <c r="C63" s="67" t="s">
        <v>53</v>
      </c>
      <c r="D63" s="65" t="s">
        <v>54</v>
      </c>
      <c r="E63" s="65"/>
      <c r="F63" s="65"/>
      <c r="G63" s="66"/>
    </row>
    <row r="64" spans="1:9" x14ac:dyDescent="0.25">
      <c r="A64" s="20">
        <v>2</v>
      </c>
      <c r="B64" s="47"/>
      <c r="C64" s="67"/>
      <c r="D64" s="65"/>
      <c r="E64" s="65"/>
      <c r="F64" s="65"/>
      <c r="G64" s="66"/>
    </row>
    <row r="65" spans="2:9" x14ac:dyDescent="0.25">
      <c r="B65" s="16"/>
      <c r="G65" s="18"/>
    </row>
    <row r="66" spans="2:9" x14ac:dyDescent="0.25">
      <c r="B66" s="16"/>
      <c r="G66" s="18"/>
    </row>
    <row r="67" spans="2:9" x14ac:dyDescent="0.25">
      <c r="B67" s="16"/>
      <c r="G67" s="18"/>
    </row>
    <row r="68" spans="2:9" x14ac:dyDescent="0.25">
      <c r="B68" s="16"/>
      <c r="G68" s="18"/>
    </row>
    <row r="69" spans="2:9" x14ac:dyDescent="0.25">
      <c r="B69" s="16"/>
      <c r="D69" s="22" t="s">
        <v>10</v>
      </c>
      <c r="E69" s="57">
        <f>IF(A64=1,E59+(E59*0.2),E59)</f>
        <v>26726.367937499999</v>
      </c>
      <c r="G69" s="18"/>
      <c r="I69" s="28"/>
    </row>
    <row r="70" spans="2:9" x14ac:dyDescent="0.25">
      <c r="B70" s="29"/>
      <c r="C70" s="46"/>
      <c r="D70" s="30"/>
      <c r="E70" s="30"/>
      <c r="F70" s="30"/>
      <c r="G70" s="31"/>
    </row>
    <row r="71" spans="2:9" x14ac:dyDescent="0.25">
      <c r="B71" s="59"/>
      <c r="C71" s="60"/>
      <c r="D71" s="61"/>
      <c r="E71" s="61"/>
      <c r="F71" s="61"/>
      <c r="G71" s="62" t="s">
        <v>134</v>
      </c>
    </row>
    <row r="72" spans="2:9" x14ac:dyDescent="0.25">
      <c r="B72" s="13"/>
      <c r="C72" s="45"/>
      <c r="D72" s="14"/>
      <c r="E72" s="14"/>
      <c r="F72" s="14"/>
      <c r="G72" s="15"/>
    </row>
    <row r="73" spans="2:9" x14ac:dyDescent="0.25">
      <c r="B73" s="29"/>
      <c r="C73" s="46"/>
      <c r="D73" s="30"/>
      <c r="E73" s="30"/>
      <c r="F73" s="30"/>
      <c r="G73" s="31"/>
    </row>
    <row r="74" spans="2:9" x14ac:dyDescent="0.25">
      <c r="B74" s="68" t="s">
        <v>131</v>
      </c>
      <c r="C74" s="69"/>
      <c r="D74" s="69"/>
      <c r="E74" s="69"/>
      <c r="F74" s="69"/>
      <c r="G74" s="70"/>
    </row>
    <row r="75" spans="2:9" x14ac:dyDescent="0.25">
      <c r="B75" s="74"/>
      <c r="C75" s="75"/>
      <c r="D75" s="75"/>
      <c r="E75" s="75"/>
      <c r="F75" s="75"/>
      <c r="G75" s="76"/>
    </row>
    <row r="76" spans="2:9" x14ac:dyDescent="0.25">
      <c r="B76" s="68" t="s">
        <v>133</v>
      </c>
      <c r="C76" s="69"/>
      <c r="D76" s="69"/>
      <c r="E76" s="69"/>
      <c r="F76" s="69"/>
      <c r="G76" s="70"/>
    </row>
    <row r="77" spans="2:9" x14ac:dyDescent="0.25">
      <c r="B77" s="71"/>
      <c r="C77" s="72"/>
      <c r="D77" s="72"/>
      <c r="E77" s="72"/>
      <c r="F77" s="72"/>
      <c r="G77" s="73"/>
    </row>
    <row r="78" spans="2:9" x14ac:dyDescent="0.25">
      <c r="B78" s="71"/>
      <c r="C78" s="72"/>
      <c r="D78" s="72"/>
      <c r="E78" s="72"/>
      <c r="F78" s="72"/>
      <c r="G78" s="73"/>
    </row>
    <row r="79" spans="2:9" x14ac:dyDescent="0.25">
      <c r="B79" s="74"/>
      <c r="C79" s="75"/>
      <c r="D79" s="75"/>
      <c r="E79" s="75"/>
      <c r="F79" s="75"/>
      <c r="G79" s="76"/>
    </row>
  </sheetData>
  <mergeCells count="5">
    <mergeCell ref="C8:G8"/>
    <mergeCell ref="D63:G64"/>
    <mergeCell ref="C63:C64"/>
    <mergeCell ref="B76:G79"/>
    <mergeCell ref="B74:G75"/>
  </mergeCells>
  <dataValidations count="3">
    <dataValidation type="list" allowBlank="1" showInputMessage="1" showErrorMessage="1" sqref="E12" xr:uid="{00000000-0002-0000-0300-000000000000}">
      <formula1>INFRATOR</formula1>
    </dataValidation>
    <dataValidation type="list" allowBlank="1" showInputMessage="1" showErrorMessage="1" sqref="E20" xr:uid="{00000000-0002-0000-0300-000001000000}">
      <formula1>INFRAÇÃO</formula1>
    </dataValidation>
    <dataValidation type="list" allowBlank="1" showInputMessage="1" showErrorMessage="1" sqref="E16:E17" xr:uid="{00000000-0002-0000-0300-000002000000}">
      <formula1>Porte</formula1>
    </dataValidation>
  </dataValidations>
  <printOptions horizontalCentered="1"/>
  <pageMargins left="0.19685039370078741" right="0.19685039370078741" top="0.19685039370078741" bottom="0.19685039370078741" header="0.31496062992125984" footer="0.31496062992125984"/>
  <pageSetup paperSize="9" scale="84"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76" r:id="rId4" name="Option Button 28">
              <controlPr defaultSize="0" autoFill="0" autoLine="0" autoPict="0">
                <anchor>
                  <from>
                    <xdr:col>3</xdr:col>
                    <xdr:colOff>57150</xdr:colOff>
                    <xdr:row>28</xdr:row>
                    <xdr:rowOff>114300</xdr:rowOff>
                  </from>
                  <to>
                    <xdr:col>3</xdr:col>
                    <xdr:colOff>1162050</xdr:colOff>
                    <xdr:row>29</xdr:row>
                    <xdr:rowOff>142875</xdr:rowOff>
                  </to>
                </anchor>
              </controlPr>
            </control>
          </mc:Choice>
        </mc:AlternateContent>
        <mc:AlternateContent xmlns:mc="http://schemas.openxmlformats.org/markup-compatibility/2006">
          <mc:Choice Requires="x14">
            <control shapeId="2077" r:id="rId5" name="Option Button 29">
              <controlPr defaultSize="0" autoFill="0" autoLine="0" autoPict="0">
                <anchor moveWithCells="1">
                  <from>
                    <xdr:col>3</xdr:col>
                    <xdr:colOff>57150</xdr:colOff>
                    <xdr:row>30</xdr:row>
                    <xdr:rowOff>9525</xdr:rowOff>
                  </from>
                  <to>
                    <xdr:col>3</xdr:col>
                    <xdr:colOff>1162050</xdr:colOff>
                    <xdr:row>31</xdr:row>
                    <xdr:rowOff>38100</xdr:rowOff>
                  </to>
                </anchor>
              </controlPr>
            </control>
          </mc:Choice>
        </mc:AlternateContent>
        <mc:AlternateContent xmlns:mc="http://schemas.openxmlformats.org/markup-compatibility/2006">
          <mc:Choice Requires="x14">
            <control shapeId="2078" r:id="rId6" name="Option Button 30">
              <controlPr defaultSize="0" autoFill="0" autoLine="0" autoPict="0">
                <anchor moveWithCells="1">
                  <from>
                    <xdr:col>3</xdr:col>
                    <xdr:colOff>57150</xdr:colOff>
                    <xdr:row>31</xdr:row>
                    <xdr:rowOff>123825</xdr:rowOff>
                  </from>
                  <to>
                    <xdr:col>3</xdr:col>
                    <xdr:colOff>1162050</xdr:colOff>
                    <xdr:row>32</xdr:row>
                    <xdr:rowOff>152400</xdr:rowOff>
                  </to>
                </anchor>
              </controlPr>
            </control>
          </mc:Choice>
        </mc:AlternateContent>
        <mc:AlternateContent xmlns:mc="http://schemas.openxmlformats.org/markup-compatibility/2006">
          <mc:Choice Requires="x14">
            <control shapeId="2081" r:id="rId7" name="Option Button 33">
              <controlPr defaultSize="0" autoFill="0" autoLine="0" autoPict="0">
                <anchor moveWithCells="1">
                  <from>
                    <xdr:col>3</xdr:col>
                    <xdr:colOff>57150</xdr:colOff>
                    <xdr:row>33</xdr:row>
                    <xdr:rowOff>133350</xdr:rowOff>
                  </from>
                  <to>
                    <xdr:col>3</xdr:col>
                    <xdr:colOff>1162050</xdr:colOff>
                    <xdr:row>34</xdr:row>
                    <xdr:rowOff>161925</xdr:rowOff>
                  </to>
                </anchor>
              </controlPr>
            </control>
          </mc:Choice>
        </mc:AlternateContent>
        <mc:AlternateContent xmlns:mc="http://schemas.openxmlformats.org/markup-compatibility/2006">
          <mc:Choice Requires="x14">
            <control shapeId="2089" r:id="rId8" name="Option Button 41">
              <controlPr defaultSize="0" autoFill="0" autoLine="0" autoPict="0">
                <anchor moveWithCells="1">
                  <from>
                    <xdr:col>3</xdr:col>
                    <xdr:colOff>57150</xdr:colOff>
                    <xdr:row>41</xdr:row>
                    <xdr:rowOff>104775</xdr:rowOff>
                  </from>
                  <to>
                    <xdr:col>3</xdr:col>
                    <xdr:colOff>1162050</xdr:colOff>
                    <xdr:row>42</xdr:row>
                    <xdr:rowOff>133350</xdr:rowOff>
                  </to>
                </anchor>
              </controlPr>
            </control>
          </mc:Choice>
        </mc:AlternateContent>
        <mc:AlternateContent xmlns:mc="http://schemas.openxmlformats.org/markup-compatibility/2006">
          <mc:Choice Requires="x14">
            <control shapeId="2090" r:id="rId9" name="Option Button 42">
              <controlPr defaultSize="0" autoFill="0" autoLine="0" autoPict="0">
                <anchor moveWithCells="1">
                  <from>
                    <xdr:col>3</xdr:col>
                    <xdr:colOff>57150</xdr:colOff>
                    <xdr:row>42</xdr:row>
                    <xdr:rowOff>180975</xdr:rowOff>
                  </from>
                  <to>
                    <xdr:col>3</xdr:col>
                    <xdr:colOff>1162050</xdr:colOff>
                    <xdr:row>44</xdr:row>
                    <xdr:rowOff>19050</xdr:rowOff>
                  </to>
                </anchor>
              </controlPr>
            </control>
          </mc:Choice>
        </mc:AlternateContent>
        <mc:AlternateContent xmlns:mc="http://schemas.openxmlformats.org/markup-compatibility/2006">
          <mc:Choice Requires="x14">
            <control shapeId="2091" r:id="rId10" name="Option Button 43">
              <controlPr defaultSize="0" autoFill="0" autoLine="0" autoPict="0">
                <anchor moveWithCells="1">
                  <from>
                    <xdr:col>3</xdr:col>
                    <xdr:colOff>57150</xdr:colOff>
                    <xdr:row>44</xdr:row>
                    <xdr:rowOff>171450</xdr:rowOff>
                  </from>
                  <to>
                    <xdr:col>3</xdr:col>
                    <xdr:colOff>1162050</xdr:colOff>
                    <xdr:row>46</xdr:row>
                    <xdr:rowOff>9525</xdr:rowOff>
                  </to>
                </anchor>
              </controlPr>
            </control>
          </mc:Choice>
        </mc:AlternateContent>
        <mc:AlternateContent xmlns:mc="http://schemas.openxmlformats.org/markup-compatibility/2006">
          <mc:Choice Requires="x14">
            <control shapeId="2092" r:id="rId11" name="Option Button 44">
              <controlPr defaultSize="0" autoFill="0" autoLine="0" autoPict="0">
                <anchor moveWithCells="1">
                  <from>
                    <xdr:col>3</xdr:col>
                    <xdr:colOff>57150</xdr:colOff>
                    <xdr:row>46</xdr:row>
                    <xdr:rowOff>152400</xdr:rowOff>
                  </from>
                  <to>
                    <xdr:col>3</xdr:col>
                    <xdr:colOff>1162050</xdr:colOff>
                    <xdr:row>47</xdr:row>
                    <xdr:rowOff>180975</xdr:rowOff>
                  </to>
                </anchor>
              </controlPr>
            </control>
          </mc:Choice>
        </mc:AlternateContent>
        <mc:AlternateContent xmlns:mc="http://schemas.openxmlformats.org/markup-compatibility/2006">
          <mc:Choice Requires="x14">
            <control shapeId="2093" r:id="rId12" name="Group Box 45">
              <controlPr defaultSize="0" autoFill="0" autoPict="0">
                <anchor moveWithCells="1">
                  <from>
                    <xdr:col>3</xdr:col>
                    <xdr:colOff>0</xdr:colOff>
                    <xdr:row>28</xdr:row>
                    <xdr:rowOff>47625</xdr:rowOff>
                  </from>
                  <to>
                    <xdr:col>6</xdr:col>
                    <xdr:colOff>447675</xdr:colOff>
                    <xdr:row>35</xdr:row>
                    <xdr:rowOff>152400</xdr:rowOff>
                  </to>
                </anchor>
              </controlPr>
            </control>
          </mc:Choice>
        </mc:AlternateContent>
        <mc:AlternateContent xmlns:mc="http://schemas.openxmlformats.org/markup-compatibility/2006">
          <mc:Choice Requires="x14">
            <control shapeId="2094" r:id="rId13" name="Group Box 46">
              <controlPr defaultSize="0" autoFill="0" autoPict="0">
                <anchor moveWithCells="1">
                  <from>
                    <xdr:col>3</xdr:col>
                    <xdr:colOff>0</xdr:colOff>
                    <xdr:row>41</xdr:row>
                    <xdr:rowOff>47625</xdr:rowOff>
                  </from>
                  <to>
                    <xdr:col>6</xdr:col>
                    <xdr:colOff>447675</xdr:colOff>
                    <xdr:row>48</xdr:row>
                    <xdr:rowOff>152400</xdr:rowOff>
                  </to>
                </anchor>
              </controlPr>
            </control>
          </mc:Choice>
        </mc:AlternateContent>
        <mc:AlternateContent xmlns:mc="http://schemas.openxmlformats.org/markup-compatibility/2006">
          <mc:Choice Requires="x14">
            <control shapeId="2095" r:id="rId14" name="Group Box 47">
              <controlPr defaultSize="0" autoFill="0" autoPict="0">
                <anchor moveWithCells="1">
                  <from>
                    <xdr:col>2</xdr:col>
                    <xdr:colOff>304800</xdr:colOff>
                    <xdr:row>52</xdr:row>
                    <xdr:rowOff>104775</xdr:rowOff>
                  </from>
                  <to>
                    <xdr:col>6</xdr:col>
                    <xdr:colOff>438150</xdr:colOff>
                    <xdr:row>57</xdr:row>
                    <xdr:rowOff>47625</xdr:rowOff>
                  </to>
                </anchor>
              </controlPr>
            </control>
          </mc:Choice>
        </mc:AlternateContent>
        <mc:AlternateContent xmlns:mc="http://schemas.openxmlformats.org/markup-compatibility/2006">
          <mc:Choice Requires="x14">
            <control shapeId="2096" r:id="rId15" name="Option Button 48">
              <controlPr defaultSize="0" autoFill="0" autoLine="0" autoPict="0">
                <anchor moveWithCells="1">
                  <from>
                    <xdr:col>3</xdr:col>
                    <xdr:colOff>76200</xdr:colOff>
                    <xdr:row>53</xdr:row>
                    <xdr:rowOff>38100</xdr:rowOff>
                  </from>
                  <to>
                    <xdr:col>4</xdr:col>
                    <xdr:colOff>19050</xdr:colOff>
                    <xdr:row>54</xdr:row>
                    <xdr:rowOff>66675</xdr:rowOff>
                  </to>
                </anchor>
              </controlPr>
            </control>
          </mc:Choice>
        </mc:AlternateContent>
        <mc:AlternateContent xmlns:mc="http://schemas.openxmlformats.org/markup-compatibility/2006">
          <mc:Choice Requires="x14">
            <control shapeId="2097" r:id="rId16" name="Option Button 49">
              <controlPr defaultSize="0" autoFill="0" autoLine="0" autoPict="0">
                <anchor moveWithCells="1">
                  <from>
                    <xdr:col>3</xdr:col>
                    <xdr:colOff>76200</xdr:colOff>
                    <xdr:row>55</xdr:row>
                    <xdr:rowOff>28575</xdr:rowOff>
                  </from>
                  <to>
                    <xdr:col>4</xdr:col>
                    <xdr:colOff>19050</xdr:colOff>
                    <xdr:row>56</xdr:row>
                    <xdr:rowOff>57150</xdr:rowOff>
                  </to>
                </anchor>
              </controlPr>
            </control>
          </mc:Choice>
        </mc:AlternateContent>
        <mc:AlternateContent xmlns:mc="http://schemas.openxmlformats.org/markup-compatibility/2006">
          <mc:Choice Requires="x14">
            <control shapeId="2098" r:id="rId17" name="Group Box 50">
              <controlPr defaultSize="0" autoFill="0" autoPict="0">
                <anchor moveWithCells="1">
                  <from>
                    <xdr:col>2</xdr:col>
                    <xdr:colOff>304800</xdr:colOff>
                    <xdr:row>64</xdr:row>
                    <xdr:rowOff>19050</xdr:rowOff>
                  </from>
                  <to>
                    <xdr:col>6</xdr:col>
                    <xdr:colOff>438150</xdr:colOff>
                    <xdr:row>67</xdr:row>
                    <xdr:rowOff>171450</xdr:rowOff>
                  </to>
                </anchor>
              </controlPr>
            </control>
          </mc:Choice>
        </mc:AlternateContent>
        <mc:AlternateContent xmlns:mc="http://schemas.openxmlformats.org/markup-compatibility/2006">
          <mc:Choice Requires="x14">
            <control shapeId="2099" r:id="rId18" name="Option Button 51">
              <controlPr defaultSize="0" autoFill="0" autoLine="0" autoPict="0">
                <anchor moveWithCells="1">
                  <from>
                    <xdr:col>3</xdr:col>
                    <xdr:colOff>47625</xdr:colOff>
                    <xdr:row>64</xdr:row>
                    <xdr:rowOff>123825</xdr:rowOff>
                  </from>
                  <to>
                    <xdr:col>3</xdr:col>
                    <xdr:colOff>1123950</xdr:colOff>
                    <xdr:row>65</xdr:row>
                    <xdr:rowOff>142875</xdr:rowOff>
                  </to>
                </anchor>
              </controlPr>
            </control>
          </mc:Choice>
        </mc:AlternateContent>
        <mc:AlternateContent xmlns:mc="http://schemas.openxmlformats.org/markup-compatibility/2006">
          <mc:Choice Requires="x14">
            <control shapeId="2100" r:id="rId19" name="Option Button 52">
              <controlPr defaultSize="0" autoFill="0" autoLine="0" autoPict="0">
                <anchor moveWithCells="1">
                  <from>
                    <xdr:col>3</xdr:col>
                    <xdr:colOff>47625</xdr:colOff>
                    <xdr:row>66</xdr:row>
                    <xdr:rowOff>47625</xdr:rowOff>
                  </from>
                  <to>
                    <xdr:col>3</xdr:col>
                    <xdr:colOff>1123950</xdr:colOff>
                    <xdr:row>67</xdr:row>
                    <xdr:rowOff>66675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9</vt:i4>
      </vt:variant>
    </vt:vector>
  </HeadingPairs>
  <TitlesOfParts>
    <vt:vector size="13" baseType="lpstr">
      <vt:lpstr>GRUPOS</vt:lpstr>
      <vt:lpstr>AGRAVANTES</vt:lpstr>
      <vt:lpstr>BANCO DE DADOS</vt:lpstr>
      <vt:lpstr>DOSIMETRIA</vt:lpstr>
      <vt:lpstr>CLASSIFICACAO</vt:lpstr>
      <vt:lpstr>GRUPO_I</vt:lpstr>
      <vt:lpstr>GRUPO_II</vt:lpstr>
      <vt:lpstr>GRUPO_III</vt:lpstr>
      <vt:lpstr>GRUPO_IV</vt:lpstr>
      <vt:lpstr>INFRAÇÃO</vt:lpstr>
      <vt:lpstr>INFRATOR</vt:lpstr>
      <vt:lpstr>Porte</vt:lpstr>
      <vt:lpstr>Porte_Empresa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SOCORRO SO. UCHOA</dc:creator>
  <cp:lastModifiedBy>Carlos Marcolino da Silva</cp:lastModifiedBy>
  <cp:lastPrinted>2021-04-27T13:33:19Z</cp:lastPrinted>
  <dcterms:created xsi:type="dcterms:W3CDTF">2021-02-17T13:20:09Z</dcterms:created>
  <dcterms:modified xsi:type="dcterms:W3CDTF">2025-01-30T17:42:45Z</dcterms:modified>
</cp:coreProperties>
</file>